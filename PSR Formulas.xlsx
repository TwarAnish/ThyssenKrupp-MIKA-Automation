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hyssenKrupp\PSR\"/>
    </mc:Choice>
  </mc:AlternateContent>
  <xr:revisionPtr revIDLastSave="0" documentId="13_ncr:1_{257A8175-2503-4452-A719-43991BAFF5C2}" xr6:coauthVersionLast="36" xr6:coauthVersionMax="47" xr10:uidLastSave="{00000000-0000-0000-0000-000000000000}"/>
  <bookViews>
    <workbookView xWindow="0" yWindow="0" windowWidth="20490" windowHeight="7125" xr2:uid="{775FCDD5-28CF-4B24-B87F-851F114EE28C}"/>
  </bookViews>
  <sheets>
    <sheet name="Margin formula and summary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1_0_ANGEBOT">#REF!</definedName>
    <definedName name="_1_PRINT_CALC">#REF!</definedName>
    <definedName name="_12_3_PAGE3_IRR">#REF!</definedName>
    <definedName name="_19CHECK">#REF!</definedName>
    <definedName name="_2_0_CLASS_STOFF">#REF!</definedName>
    <definedName name="_3_0_PRINT_ALL">#REF!</definedName>
    <definedName name="_4_1_PAGE1_SUMM">#REF!</definedName>
    <definedName name="_5_2_PAGE2_ROA">#REF!</definedName>
    <definedName name="_6_3_PAGE3_IRR">#REF!</definedName>
    <definedName name="_7CHECK">#REF!</definedName>
    <definedName name="_Any_Other_Factor">#REF!</definedName>
    <definedName name="_Assembly_Engineer_INDIA">#REF!</definedName>
    <definedName name="_Assembly_Engineer_Inhouse">#REF!</definedName>
    <definedName name="_Assembly_Engineer_Overseas">#REF!</definedName>
    <definedName name="_Assembly_Engineer_PUNE">#REF!</definedName>
    <definedName name="_Assembly_Tech_Elec_Inhouse">#REF!</definedName>
    <definedName name="_Assembly_Tech_Elec_INIDA">#REF!</definedName>
    <definedName name="_Assembly_Tech_Elec_Overseas">#REF!</definedName>
    <definedName name="_Assembly_Tech_Elec_PUNE">#REF!</definedName>
    <definedName name="_Assembly_Tech_Mech_INDIA">#REF!</definedName>
    <definedName name="_Assembly_Tech_Mech_Inhouse">#REF!</definedName>
    <definedName name="_Assembly_Tech_Mech_Overseas">#REF!</definedName>
    <definedName name="_Assembly_Tech_Mech_PUNE">#REF!</definedName>
    <definedName name="_budget_composite_factor">#REF!</definedName>
    <definedName name="_BUDGET_EFFICIENCY">#REF!</definedName>
    <definedName name="_BUDGET_FACTOR">#REF!</definedName>
    <definedName name="_Commissioner_INDIA">#REF!</definedName>
    <definedName name="_Commissioner_Inhouse">#REF!</definedName>
    <definedName name="_Commissioner_Overseas">#REF!</definedName>
    <definedName name="_Commmissioner_PUNE">#REF!</definedName>
    <definedName name="_CST">#REF!</definedName>
    <definedName name="_DATE">#REF!</definedName>
    <definedName name="_Delivery_date">#REF!</definedName>
    <definedName name="_Designer_Electrical_Controls_India">#REF!</definedName>
    <definedName name="_Designer_Electrical_Controls_Inhouse">#REF!</definedName>
    <definedName name="_Designer_Electrical_controls_Overseas">#REF!</definedName>
    <definedName name="_Designer_Electrical_Controls_Pune">#REF!</definedName>
    <definedName name="_Designer_Mech_INDIA">#REF!</definedName>
    <definedName name="_Designer_Mech_Inhouse">#REF!</definedName>
    <definedName name="_Designer_Mech_Overseas">#REF!</definedName>
    <definedName name="_Designer_Mech_PUNE">#REF!</definedName>
    <definedName name="_EBIT">#REF!</definedName>
    <definedName name="_EFF_CNTRL">#REF!</definedName>
    <definedName name="_EFF_Detailing">#REF!</definedName>
    <definedName name="_EFF_EHW">#REF!</definedName>
    <definedName name="_EFF_ELEC">#REF!</definedName>
    <definedName name="_EFF_Elec_Controls">#REF!</definedName>
    <definedName name="_EFF_Engineer__Commissioner">#REF!</definedName>
    <definedName name="_EFF_EQPT">#REF!</definedName>
    <definedName name="_EFF_HYD">#REF!</definedName>
    <definedName name="_EFF_INST">#REF!</definedName>
    <definedName name="_EFF_MECH">#REF!</definedName>
    <definedName name="_EFF_Mech_Pneum">#REF!</definedName>
    <definedName name="_EFF_MFG">#REF!</definedName>
    <definedName name="_EFF_MHW">#REF!</definedName>
    <definedName name="_EFF_PM">#REF!</definedName>
    <definedName name="_EFF_PNEUM">#REF!</definedName>
    <definedName name="_EFF_SERV">#REF!</definedName>
    <definedName name="_EFF_STNS">#REF!</definedName>
    <definedName name="_EFF_SW">#REF!</definedName>
    <definedName name="_EFF_Tech_Elec">#REF!</definedName>
    <definedName name="_EFF_Tech_Mech">#REF!</definedName>
    <definedName name="_Efficiency">#REF!</definedName>
    <definedName name="_EXCHANGE_RATE">#REF!</definedName>
    <definedName name="_Exchange_Rate_SELL">#REF!</definedName>
    <definedName name="_EXCISE">#REF!</definedName>
    <definedName name="_External_Inflation_Factor">#REF!</definedName>
    <definedName name="_Financing_Cost">#REF!</definedName>
    <definedName name="_GST">#REF!</definedName>
    <definedName name="_Hotel_India">#REF!</definedName>
    <definedName name="_Hotel_Overseas">#REF!</definedName>
    <definedName name="_Hotels_Pune">#REF!</definedName>
    <definedName name="_IMPORT_DUTY_CENVATABLE">#REF!</definedName>
    <definedName name="_IMPORT_DUTY_FULL">#REF!</definedName>
    <definedName name="_IMPORT_DUTY_NONCENVATABLE">#REF!</definedName>
    <definedName name="_Insurance">#REF!</definedName>
    <definedName name="_Interest_on_Realization">#REF!</definedName>
    <definedName name="_Internal_Increase_Rate">#REF!</definedName>
    <definedName name="_Internal_Inflation_Factor">#REF!</definedName>
    <definedName name="_Local_Inward_PF">#REF!</definedName>
    <definedName name="_Local_Transport_India">#REF!</definedName>
    <definedName name="_Local_Transport_Overseas">#REF!</definedName>
    <definedName name="_Local_Transport_Pune">#REF!</definedName>
    <definedName name="_LOCATION">#REF!</definedName>
    <definedName name="_Lump_Sum_Warranty_Factor">#REF!</definedName>
    <definedName name="_MARGIN">#REF!</definedName>
    <definedName name="_MODIFICATION_DATE">#REF!</definedName>
    <definedName name="_MVAT">[1]BASE!$F$16</definedName>
    <definedName name="_Octroi">#REF!</definedName>
    <definedName name="_Project_Engineer_INDIA">#REF!</definedName>
    <definedName name="_Project_Engineer_Inhouse">#REF!</definedName>
    <definedName name="_Project_Engineer_Overseas">#REF!</definedName>
    <definedName name="_Project_Engineer_PUNE">#REF!</definedName>
    <definedName name="_Project_Period_in_Weeks">#REF!</definedName>
    <definedName name="_Risk_Factor">#REF!</definedName>
    <definedName name="_SERVICE_TAX">#REF!</definedName>
    <definedName name="_SGA">#REF!</definedName>
    <definedName name="_Special_Valuation_Duty">#REF!</definedName>
    <definedName name="_STATUS">#REF!</definedName>
    <definedName name="_T_Pass_Through">#REF!</definedName>
    <definedName name="_TP_Full">#REF!</definedName>
    <definedName name="_Unit_Total">#REF!</definedName>
    <definedName name="_Warranty_Cost">#REF!</definedName>
    <definedName name="_Warranty_date">#REF!</definedName>
    <definedName name="_Warranty_Factor">#REF!</definedName>
    <definedName name="_Warranty_Period">#REF!</definedName>
    <definedName name="_WORKTYPE">#REF!</definedName>
    <definedName name="ANGEBOT">#REF!</definedName>
    <definedName name="Anzahl">[2]KABEL!#REF!</definedName>
    <definedName name="Anzahl1">[2]MAP!#REF!</definedName>
    <definedName name="Auftrag">#REF!</definedName>
    <definedName name="BEET_NEU_1">#REF!</definedName>
    <definedName name="BEET_NEU_2">#REF!</definedName>
    <definedName name="BEET_NEU_3">#REF!</definedName>
    <definedName name="BEET_NEU_4">#REF!</definedName>
    <definedName name="Bewertungspunkte">#REF!</definedName>
    <definedName name="Bezugsart">[3]Auswahllisten!$A$2:$A$4</definedName>
    <definedName name="blank">[4]inputs!$A$34</definedName>
    <definedName name="blatt2" hidden="1">{"'A04 Türen'!$A$1:$V$67"}</definedName>
    <definedName name="BOM_1">#REF!</definedName>
    <definedName name="BOM_2">#REF!</definedName>
    <definedName name="Budget">#REF!</definedName>
    <definedName name="build_rate">[4]inputs!$C$4</definedName>
    <definedName name="CAD_Stundensatz">#REF!</definedName>
    <definedName name="CADstundeinEuro">#REF!</definedName>
    <definedName name="cc" hidden="1">{"'A04 Türen'!$A$1:$V$67"}</definedName>
    <definedName name="ccrwdsg">[4]inputs!$K$2</definedName>
    <definedName name="CD_Rate">'[5]Summary-IEGrp9&amp;8-UB Area (FNA) '!$BH$9</definedName>
    <definedName name="code" localSheetId="0">[6]!code</definedName>
    <definedName name="code">[6]!code</definedName>
    <definedName name="cont_ds_rate">[4]inputs!$C$2</definedName>
    <definedName name="CURR">#REF!</definedName>
    <definedName name="Customer">#REF!</definedName>
    <definedName name="d" hidden="1">{"'A04 Türen'!$A$1:$V$67"}</definedName>
    <definedName name="_xlnm.Database">[7]Mississippi!$A$2:$K$108</definedName>
    <definedName name="DBAnfang">[2]KABEL!#REF!</definedName>
    <definedName name="DBEnde">[2]KABEL!#REF!</definedName>
    <definedName name="DC_Änd" hidden="1">{#N/A,#N/A,FALSE,"Werk 5";#N/A,#N/A,FALSE,"Werk 3";#N/A,#N/A,FALSE,"Werk 2";#N/A,#N/A,FALSE,"Werk 1"}</definedName>
    <definedName name="ddd" hidden="1">{"'A04 Türen'!$A$1:$V$67"}</definedName>
    <definedName name="DECKBL">#REF!</definedName>
    <definedName name="deckblatt" hidden="1">{"'A04 Türen'!$A$1:$V$67"}</definedName>
    <definedName name="druck00">'[8]Anual Detail'!$AE$1:$AQ$71</definedName>
    <definedName name="druck01">'[8]Anual Detail'!$AR$1:$BD$71</definedName>
    <definedName name="druck02">'[8]Anual Detail'!$BE$1:$BQ$71</definedName>
    <definedName name="druck03">'[8]Anual Detail'!$BR$1:$CD$71</definedName>
    <definedName name="druck04">'[8]Anual Detail'!$CE$1:$CQ$71</definedName>
    <definedName name="druck98">'[8]Anual Detail'!$E$1:$Q$71</definedName>
    <definedName name="druck99">'[8]Anual Detail'!$R$1:$AD$71</definedName>
    <definedName name="Drucktitel_MI">#REF!</definedName>
    <definedName name="dsf" hidden="1">{"'A04 Türen'!$A$1:$V$67"}</definedName>
    <definedName name="DX" localSheetId="0">dddd</definedName>
    <definedName name="DX">dddd</definedName>
    <definedName name="eee" hidden="1">{"'A04 Türen'!$A$1:$V$67"}</definedName>
    <definedName name="Eng_Rate">'[5]Summary-IEGrp9&amp;8-UB Area (FNA) '!$BH$9</definedName>
    <definedName name="engineer">#REF!</definedName>
    <definedName name="Ergonomie">'[9]KST Stunden'!$C$32</definedName>
    <definedName name="estimator">#REF!</definedName>
    <definedName name="Faktor">#REF!</definedName>
    <definedName name="File">#REF!</definedName>
    <definedName name="filepath">#REF!</definedName>
    <definedName name="FTF">#REF!</definedName>
    <definedName name="FTF__O">#REF!</definedName>
    <definedName name="FTF__S">#REF!</definedName>
    <definedName name="FTF__W">#REF!</definedName>
    <definedName name="FTF_P">#REF!</definedName>
    <definedName name="FTF_R">#REF!</definedName>
    <definedName name="FTF_Ttl">#REF!</definedName>
    <definedName name="FTFT">#REF!</definedName>
    <definedName name="FTFWTF">#REF!</definedName>
    <definedName name="FTFY">#REF!</definedName>
    <definedName name="gdgdgd" hidden="1">{"'A04 Türen'!$A$1:$V$67"}</definedName>
    <definedName name="gg" hidden="1">{"'A04 Türen'!$A$1:$V$67"}</definedName>
    <definedName name="h_A">#REF!</definedName>
    <definedName name="h_A2">#REF!</definedName>
    <definedName name="h_P">#REF!</definedName>
    <definedName name="h_P2">#REF!</definedName>
    <definedName name="h_S">#REF!</definedName>
    <definedName name="h_S2">#REF!</definedName>
    <definedName name="h_T">#REF!</definedName>
    <definedName name="h_T2">#REF!</definedName>
    <definedName name="h_Tag">#REF!</definedName>
    <definedName name="heading">#REF!</definedName>
    <definedName name="hk">#REF!</definedName>
    <definedName name="HTML_CodePage" hidden="1">1252</definedName>
    <definedName name="HTML_Control" hidden="1">{"'A04 Türen'!$A$1:$V$67"}</definedName>
    <definedName name="HTML_Control1" hidden="1">{"'A04 Türen'!$A$1:$V$67"}</definedName>
    <definedName name="HTML_Description" hidden="1">""</definedName>
    <definedName name="HTML_Email" hidden="1">""</definedName>
    <definedName name="HTML_Header" hidden="1">"A04 Türen"</definedName>
    <definedName name="HTML_LastUpdate" hidden="1">"14.3.2000"</definedName>
    <definedName name="HTML_LineAfter" hidden="1">TRUE</definedName>
    <definedName name="HTML_LineBefore" hidden="1">TRUE</definedName>
    <definedName name="HTML_Name" hidden="1">"Acad6"</definedName>
    <definedName name="HTML_OBDlg2" hidden="1">TRUE</definedName>
    <definedName name="HTML_OBDlg4" hidden="1">TRUE</definedName>
    <definedName name="HTML_OS" hidden="1">0</definedName>
    <definedName name="HTML_PathFile" hidden="1">"\\Ntserver\DS-Info\DS-Info-System\Teilzeichnungen\TZ_Projekt_1.htm"</definedName>
    <definedName name="HTML_Title" hidden="1">"TZ_Projekt_1"</definedName>
    <definedName name="i" hidden="1">{"'A04 Türen'!$A$1:$V$67"}</definedName>
    <definedName name="ibt">#REF!</definedName>
    <definedName name="Inbetriebnahme">[10]Diagramm!$R$17</definedName>
    <definedName name="Inbetriebnahmephase">[11]Diagramm!$F$46</definedName>
    <definedName name="Inbetriebnahnnnme">#REF!</definedName>
    <definedName name="INVEST_1">#REF!</definedName>
    <definedName name="INVEST_2">#REF!</definedName>
    <definedName name="IRR">#REF!</definedName>
    <definedName name="k" hidden="1">{"'A04 Türen'!$A$1:$V$67"}</definedName>
    <definedName name="Kosten">#REF!</definedName>
    <definedName name="Kostenabweichung">[10]Diagramm!$O$17</definedName>
    <definedName name="kstabweichung">[12]Diagramm!#REF!</definedName>
    <definedName name="KUNDEN_SPLIT">#REF!</definedName>
    <definedName name="LAGER">#REF!</definedName>
    <definedName name="LAND">#REF!</definedName>
    <definedName name="LID">#REF!</definedName>
    <definedName name="lid_dsc">#REF!</definedName>
    <definedName name="LOG">#REF!</definedName>
    <definedName name="MA_Profil">#REF!</definedName>
    <definedName name="MailAdressen">[13]GW!#REF!</definedName>
    <definedName name="Makro1">[14]!Makro1</definedName>
    <definedName name="Makro2">[14]!Makro2</definedName>
    <definedName name="markup_show">[4]inputs!$E$8</definedName>
    <definedName name="material_markup">[4]inputs!$C$8</definedName>
    <definedName name="MD_Rate">'[5]Summary-IEGrp9&amp;8-UB Area (FNA) '!$BF$9</definedName>
    <definedName name="mech_ds_rate">[4]inputs!$C$3</definedName>
    <definedName name="mfd_aggr">[4]inputs!$C$7</definedName>
    <definedName name="mfd_show">[4]inputs!$E$7</definedName>
    <definedName name="MGK_NEU">#REF!</definedName>
    <definedName name="MINUTEN">#REF!</definedName>
    <definedName name="ML_BRAT_MGK_1">#REF!</definedName>
    <definedName name="ML_BRAT_MGK_2">#REF!</definedName>
    <definedName name="ML_BRAT_MGK_3">#REF!</definedName>
    <definedName name="ML_BRAT_MGK_4">#REF!</definedName>
    <definedName name="ML_BRAT_MGK_5">#REF!</definedName>
    <definedName name="Modul1.Makro1" localSheetId="0">[15]!Modul1.Makro1</definedName>
    <definedName name="Modul1.Makro1">[15]!Modul1.Makro1</definedName>
    <definedName name="Modul2.Makro2" localSheetId="0">[15]!Modul2.Makro2</definedName>
    <definedName name="Modul2.Makro2">[15]!Modul2.Makro2</definedName>
    <definedName name="N">#REF!</definedName>
    <definedName name="nnjnj" hidden="1">{"'A04 Türen'!$A$1:$V$67"}</definedName>
    <definedName name="NS">#REF!</definedName>
    <definedName name="ö" hidden="1">{"'A04 Türen'!$A$1:$V$67"}</definedName>
    <definedName name="Oper_Rate">'[5]Summary-IEGrp9&amp;8-UB Area (FNA) '!$BJ$9</definedName>
    <definedName name="Overhead">#REF!</definedName>
    <definedName name="PERS_ANG">#REF!</definedName>
    <definedName name="PERS_DIR">#REF!</definedName>
    <definedName name="PERS_IND">#REF!</definedName>
    <definedName name="PH">#REF!</definedName>
    <definedName name="Phase_1">[16]Projektplan!$C$6</definedName>
    <definedName name="Phase_2">[16]Projektplan!$D$6</definedName>
    <definedName name="Phase_3">[16]Projektplan!$E$6</definedName>
    <definedName name="Phase_4">[16]Projektplan!$F$6</definedName>
    <definedName name="Phase_5">[16]Projektplan!$G$6</definedName>
    <definedName name="Planungsphase">[10]Diagramm!$Q$17</definedName>
    <definedName name="plphase">[12]Diagramm!#REF!</definedName>
    <definedName name="PNK_1">#REF!</definedName>
    <definedName name="PNK_2">#REF!</definedName>
    <definedName name="PRINT_SALES">#REF!</definedName>
    <definedName name="Quote_Description">'[5]Summary-IEGrp9&amp;8-UB Area (FNA) '!$D$2</definedName>
    <definedName name="rate_info">[4]inputs!$E$3</definedName>
    <definedName name="ROA">#REF!</definedName>
    <definedName name="ROAY">#REF!</definedName>
    <definedName name="ROS">#REF!</definedName>
    <definedName name="rr" hidden="1">{"'A04 Türen'!$A$1:$V$67"}</definedName>
    <definedName name="SAVING_1">#REF!</definedName>
    <definedName name="SAVING_2">#REF!</definedName>
    <definedName name="SAVING_3">#REF!</definedName>
    <definedName name="Schaltfläche2_BeiKlick" localSheetId="0">[17]!Schaltfläche2_BeiKlick</definedName>
    <definedName name="Schaltfläche2_BeiKlick">[17]!Schaltfläche2_BeiKlick</definedName>
    <definedName name="schaltfläche3_beiklick" localSheetId="0">[17]!schaltfläche3_beiklick</definedName>
    <definedName name="schaltfläche3_beiklick">[17]!schaltfläche3_beiklick</definedName>
    <definedName name="sdf" hidden="1">{"'A04 Türen'!$A$1:$V$67"}</definedName>
    <definedName name="sdfg" hidden="1">{#N/A,#N/A,FALSE,"Tabelle1"}</definedName>
    <definedName name="sdfsdfsdfs" hidden="1">{"'A04 Türen'!$A$1:$V$67"}</definedName>
    <definedName name="SITZSPLIT_1">#REF!</definedName>
    <definedName name="SITZSPLIT_2">#REF!</definedName>
    <definedName name="sk">#REF!</definedName>
    <definedName name="ssss" hidden="1">{"'A04 Türen'!$A$1:$V$67"}</definedName>
    <definedName name="Stunden_Monat">#REF!</definedName>
    <definedName name="TAXES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Roh">[18]Diagramm!$G$34</definedName>
    <definedName name="tb_zone">#REF!</definedName>
    <definedName name="Title">#REF!</definedName>
    <definedName name="todays_date">#REF!</definedName>
    <definedName name="trallala">#REF!</definedName>
    <definedName name="tt" hidden="1">{"'A04 Türen'!$A$1:$V$67"}</definedName>
    <definedName name="tttttt" hidden="1">{"'A04 Türen'!$A$1:$V$67"}</definedName>
    <definedName name="TYP_COMPONENTS">[19]Format!$D$30:$D$32</definedName>
    <definedName name="TYP_GROUPS">[19]Format!$B$30:$B$32</definedName>
    <definedName name="u" hidden="1">{"'A04 Türen'!$A$1:$V$67"}</definedName>
    <definedName name="Uebertragungsbereich">#REF!</definedName>
    <definedName name="Utrtyp">[20]UtrTyp!$A$3:$A$8</definedName>
    <definedName name="vcf" hidden="1">{"'A04 Türen'!$A$1:$V$67"}</definedName>
    <definedName name="VOL">#REF!</definedName>
    <definedName name="WC">#REF!</definedName>
    <definedName name="wewww" hidden="1">{"'A04 Türen'!$A$1:$V$67"}</definedName>
    <definedName name="wewwww" hidden="1">{"'A04 Türen'!$A$1:$V$67"}</definedName>
    <definedName name="wrn.Bericht01." hidden="1">{#N/A,#N/A,FALSE,"Tabelle1"}</definedName>
    <definedName name="wrn.Kunde." hidden="1">{"kunde",#N/A,FALSE,"kal"}</definedName>
    <definedName name="wrn.Prämisse." hidden="1">{#N/A,#N/A,FALSE,"Werk 5";#N/A,#N/A,FALSE,"Werk 3";#N/A,#N/A,FALSE,"Werk 2";#N/A,#N/A,FALSE,"Werk 1"}</definedName>
    <definedName name="wrn.schanz." hidden="1">{"schanz",#N/A,FALSE,"kal"}</definedName>
    <definedName name="wrn.tms." hidden="1">{"tms",#N/A,FALSE,"kal"}</definedName>
    <definedName name="www" hidden="1">{"'A04 Türen'!$A$1:$V$67"}</definedName>
    <definedName name="x">'[21]Total Quote Summary'!$D$2</definedName>
    <definedName name="xssfcr" hidden="1">{"'A04 Türen'!$A$1:$V$67"}</definedName>
    <definedName name="xx">'[21]Total Quote Summary'!$BJ$9</definedName>
    <definedName name="xxx">'[21]Total Quote Summary'!$BH$9</definedName>
    <definedName name="xxxx">'[21]Total Quote Summary'!$BH$9</definedName>
    <definedName name="Y">#REF!</definedName>
    <definedName name="Zuschlaege">#REF!</definedName>
    <definedName name="zz" hidden="1">{"'A04 Türen'!$A$1:$V$67"}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" i="4" l="1"/>
  <c r="L17" i="4"/>
  <c r="K17" i="4"/>
  <c r="M5" i="4"/>
  <c r="M6" i="4"/>
  <c r="M7" i="4"/>
  <c r="M8" i="4"/>
  <c r="M9" i="4"/>
  <c r="M10" i="4"/>
  <c r="M11" i="4"/>
  <c r="M12" i="4"/>
  <c r="M13" i="4"/>
  <c r="M14" i="4"/>
  <c r="M15" i="4"/>
  <c r="M16" i="4"/>
  <c r="M4" i="4"/>
  <c r="C11" i="4" l="1"/>
  <c r="L16" i="4"/>
  <c r="L15" i="4"/>
  <c r="L14" i="4"/>
  <c r="L13" i="4"/>
  <c r="L12" i="4"/>
  <c r="L11" i="4"/>
  <c r="L10" i="4"/>
  <c r="L9" i="4"/>
  <c r="L8" i="4"/>
  <c r="L7" i="4"/>
  <c r="L6" i="4"/>
  <c r="L5" i="4"/>
  <c r="L4" i="4"/>
  <c r="H38" i="4"/>
  <c r="G38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C24" i="4"/>
  <c r="C23" i="4"/>
  <c r="H17" i="4"/>
  <c r="G17" i="4"/>
  <c r="T5" i="4" s="1"/>
  <c r="K16" i="4"/>
  <c r="I16" i="4"/>
  <c r="K15" i="4"/>
  <c r="I15" i="4"/>
  <c r="K14" i="4"/>
  <c r="I14" i="4"/>
  <c r="K13" i="4"/>
  <c r="I13" i="4"/>
  <c r="K12" i="4"/>
  <c r="I12" i="4"/>
  <c r="K11" i="4"/>
  <c r="I11" i="4"/>
  <c r="K10" i="4"/>
  <c r="I10" i="4"/>
  <c r="K9" i="4"/>
  <c r="I9" i="4"/>
  <c r="K8" i="4"/>
  <c r="I8" i="4"/>
  <c r="C8" i="4"/>
  <c r="C9" i="4" s="1"/>
  <c r="K7" i="4"/>
  <c r="I7" i="4"/>
  <c r="K6" i="4"/>
  <c r="I6" i="4"/>
  <c r="K5" i="4"/>
  <c r="I5" i="4"/>
  <c r="K4" i="4"/>
  <c r="I4" i="4"/>
  <c r="U5" i="4" l="1"/>
  <c r="V5" i="4" s="1"/>
  <c r="C13" i="4"/>
  <c r="C18" i="4" s="1"/>
  <c r="I17" i="4"/>
  <c r="I38" i="4"/>
  <c r="C15" i="4"/>
  <c r="C16" i="4" s="1"/>
  <c r="C26" i="4" l="1"/>
  <c r="H18" i="4"/>
  <c r="H19" i="4" s="1"/>
  <c r="C28" i="4"/>
  <c r="H39" i="4"/>
  <c r="H40" i="4" s="1"/>
</calcChain>
</file>

<file path=xl/sharedStrings.xml><?xml version="1.0" encoding="utf-8"?>
<sst xmlns="http://schemas.openxmlformats.org/spreadsheetml/2006/main" count="76" uniqueCount="65">
  <si>
    <t>EBIT based :-</t>
  </si>
  <si>
    <t>Factor</t>
  </si>
  <si>
    <t>SGNA % of sales</t>
  </si>
  <si>
    <t xml:space="preserve">HK </t>
  </si>
  <si>
    <t>Enter manually</t>
  </si>
  <si>
    <t>Sales value X EBIT %</t>
  </si>
  <si>
    <t>EBIT %</t>
  </si>
  <si>
    <t>EBIT value</t>
  </si>
  <si>
    <t>Cost with SGNA</t>
  </si>
  <si>
    <t>Sales value - HK</t>
  </si>
  <si>
    <t>Direct margin value</t>
  </si>
  <si>
    <t>Direct margin %</t>
  </si>
  <si>
    <t>Direct margin value / Sale value</t>
  </si>
  <si>
    <t>Sales value / HK</t>
  </si>
  <si>
    <t>Sale value</t>
  </si>
  <si>
    <t>TER</t>
  </si>
  <si>
    <t>EFF</t>
  </si>
  <si>
    <t>Actual budget</t>
  </si>
  <si>
    <t>TER %</t>
  </si>
  <si>
    <t>EFF %</t>
  </si>
  <si>
    <t>TER value</t>
  </si>
  <si>
    <t>EFF value</t>
  </si>
  <si>
    <t>Sum of overall prognosis</t>
  </si>
  <si>
    <t>Sales value - EBIT value</t>
  </si>
  <si>
    <t>SOKO</t>
  </si>
  <si>
    <t>Prognosis</t>
  </si>
  <si>
    <t>Category</t>
  </si>
  <si>
    <t>Actuals</t>
  </si>
  <si>
    <t>Budget</t>
  </si>
  <si>
    <t>Forecast</t>
  </si>
  <si>
    <t>Rate / Hour</t>
  </si>
  <si>
    <t>KEL</t>
  </si>
  <si>
    <t>AIE</t>
  </si>
  <si>
    <t>INS</t>
  </si>
  <si>
    <t>2D</t>
  </si>
  <si>
    <t>DOK</t>
  </si>
  <si>
    <t>KMA</t>
  </si>
  <si>
    <t>PEM</t>
  </si>
  <si>
    <t>QC</t>
  </si>
  <si>
    <t>SIM</t>
  </si>
  <si>
    <t>AIM</t>
  </si>
  <si>
    <t>MMA</t>
  </si>
  <si>
    <t>IBK</t>
  </si>
  <si>
    <t>PM</t>
  </si>
  <si>
    <t>KTFT</t>
  </si>
  <si>
    <t>KTES</t>
  </si>
  <si>
    <t>KTEP</t>
  </si>
  <si>
    <t>KTMA</t>
  </si>
  <si>
    <t>KTHP</t>
  </si>
  <si>
    <t>ZKE</t>
  </si>
  <si>
    <t>F+V</t>
  </si>
  <si>
    <t>RK</t>
  </si>
  <si>
    <t>Assy</t>
  </si>
  <si>
    <t>Design</t>
  </si>
  <si>
    <t>Stationary</t>
  </si>
  <si>
    <t>FEC</t>
  </si>
  <si>
    <t>Budget Hours</t>
  </si>
  <si>
    <t>Actual Hours</t>
  </si>
  <si>
    <t>Sales value X SGNA %</t>
  </si>
  <si>
    <t>SGNA value</t>
  </si>
  <si>
    <t>Cost with SGNA - SGNA value</t>
  </si>
  <si>
    <t>Date</t>
  </si>
  <si>
    <t>Order value</t>
  </si>
  <si>
    <t>Actual cost</t>
  </si>
  <si>
    <t>Marginal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</si>
</sst>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 * #,##0.00000_ ;_ * \-#,##0.00000_ ;_ * &quot;-&quot;??_ ;_ @_ "/>
    <numFmt numFmtId="168" formatCode="_-* #,##0_-;\-* #,##0_-;_-* &quot;-&quot;??_-;_-@_-"/>
    <numFmt numFmtId="169" formatCode="#,##0.000_ ;\-#,##0.0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168" fontId="0" fillId="0" borderId="1" xfId="0" applyNumberFormat="1" applyBorder="1" applyAlignment="1">
      <alignment vertical="center"/>
    </xf>
    <xf numFmtId="0" fontId="0" fillId="0" borderId="0" xfId="0" applyAlignment="1">
      <alignment horizontal="center" vertical="center"/>
    </xf>
    <xf numFmtId="168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168" fontId="0" fillId="0" borderId="0" xfId="0" applyNumberFormat="1" applyAlignment="1">
      <alignment vertical="center"/>
    </xf>
    <xf numFmtId="168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8" fontId="0" fillId="0" borderId="1" xfId="3" applyNumberFormat="1" applyFon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68" fontId="2" fillId="3" borderId="0" xfId="0" applyNumberFormat="1" applyFont="1" applyFill="1" applyAlignment="1">
      <alignment vertical="center"/>
    </xf>
    <xf numFmtId="168" fontId="2" fillId="3" borderId="0" xfId="3" applyNumberFormat="1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10" fontId="2" fillId="2" borderId="1" xfId="1" applyNumberFormat="1" applyFont="1" applyFill="1" applyBorder="1" applyAlignment="1">
      <alignment vertical="center"/>
    </xf>
    <xf numFmtId="165" fontId="0" fillId="0" borderId="0" xfId="0" applyNumberFormat="1" applyAlignment="1">
      <alignment horizontal="center" vertical="center"/>
    </xf>
    <xf numFmtId="165" fontId="0" fillId="0" borderId="1" xfId="2" applyNumberFormat="1" applyFont="1" applyBorder="1" applyAlignment="1">
      <alignment vertical="center"/>
    </xf>
    <xf numFmtId="43" fontId="0" fillId="0" borderId="1" xfId="2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2" applyNumberFormat="1" applyFont="1" applyBorder="1" applyAlignment="1">
      <alignment vertical="center"/>
    </xf>
    <xf numFmtId="9" fontId="2" fillId="0" borderId="0" xfId="1" applyFont="1" applyAlignment="1">
      <alignment vertical="center"/>
    </xf>
    <xf numFmtId="165" fontId="1" fillId="0" borderId="1" xfId="2" applyNumberFormat="1" applyFont="1" applyBorder="1" applyAlignment="1">
      <alignment vertical="center"/>
    </xf>
    <xf numFmtId="10" fontId="1" fillId="0" borderId="1" xfId="1" applyNumberFormat="1" applyFont="1" applyBorder="1" applyAlignment="1">
      <alignment vertical="center"/>
    </xf>
    <xf numFmtId="166" fontId="1" fillId="0" borderId="1" xfId="1" applyNumberFormat="1" applyFont="1" applyBorder="1" applyAlignment="1">
      <alignment vertical="center"/>
    </xf>
    <xf numFmtId="167" fontId="2" fillId="0" borderId="1" xfId="2" applyNumberFormat="1" applyFont="1" applyBorder="1" applyAlignment="1">
      <alignment vertical="center"/>
    </xf>
    <xf numFmtId="9" fontId="0" fillId="0" borderId="1" xfId="1" applyFont="1" applyBorder="1" applyAlignment="1">
      <alignment vertical="center"/>
    </xf>
    <xf numFmtId="165" fontId="2" fillId="3" borderId="1" xfId="2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1" fillId="0" borderId="0" xfId="2" applyNumberFormat="1" applyFont="1" applyAlignment="1">
      <alignment vertical="center"/>
    </xf>
    <xf numFmtId="16" fontId="0" fillId="0" borderId="0" xfId="0" applyNumberFormat="1" applyAlignment="1">
      <alignment horizontal="center" vertical="center"/>
    </xf>
    <xf numFmtId="169" fontId="0" fillId="0" borderId="0" xfId="3" applyNumberFormat="1" applyFont="1" applyAlignment="1">
      <alignment horizontal="center" vertical="center"/>
    </xf>
  </cellXfs>
  <cellStyles count="5">
    <cellStyle name="Comma" xfId="3" builtinId="3"/>
    <cellStyle name="Comma 2" xfId="2" xr:uid="{37924971-01D6-4AAC-B146-872E04477A48}"/>
    <cellStyle name="Comma 2 2" xfId="4" xr:uid="{D076DDDD-909F-47F9-A0E8-B6D75DF4A9D6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'Margin formula and summary'!$P$3</c:f>
              <c:strCache>
                <c:ptCount val="1"/>
                <c:pt idx="0">
                  <c:v>Order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'Margin formula and summary'!$O$4:$O$5</c:f>
              <c:numCache>
                <c:formatCode>d\-mmm</c:formatCode>
                <c:ptCount val="2"/>
                <c:pt idx="0">
                  <c:v>46027</c:v>
                </c:pt>
                <c:pt idx="1">
                  <c:v>46031</c:v>
                </c:pt>
              </c:numCache>
            </c:numRef>
          </c:cat>
          <c:val>
            <c:numRef>
              <c:f>'Margin formula and summary'!$P$4:$P$5</c:f>
              <c:numCache>
                <c:formatCode>_(* #,##0_);_(* \(#,##0\);_(* "-"??_);_(@_)</c:formatCode>
                <c:ptCount val="2"/>
                <c:pt idx="0">
                  <c:v>500000000</c:v>
                </c:pt>
                <c:pt idx="1">
                  <c:v>500000000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6-4E4F-92BF-A24670F1D20C}"/>
            </c:ext>
          </c:extLst>
        </c:ser>
        <c:ser>
          <c:idx val="1"/>
          <c:order val="1"/>
          <c:tx>
            <c:strRef>
              <c:f>'Margin formula and summary'!$Q$3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'Margin formula and summary'!$O$4:$O$5</c:f>
              <c:numCache>
                <c:formatCode>d\-mmm</c:formatCode>
                <c:ptCount val="2"/>
                <c:pt idx="0">
                  <c:v>46027</c:v>
                </c:pt>
                <c:pt idx="1">
                  <c:v>46031</c:v>
                </c:pt>
              </c:numCache>
            </c:numRef>
          </c:cat>
          <c:val>
            <c:numRef>
              <c:f>'Margin formula and summary'!$Q$4:$Q$5</c:f>
              <c:numCache>
                <c:formatCode>_(* #,##0_);_(* \(#,##0\);_(* "-"??_);_(@_)</c:formatCode>
                <c:ptCount val="2"/>
                <c:pt idx="0">
                  <c:v>405000000</c:v>
                </c:pt>
                <c:pt idx="1">
                  <c:v>405000000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6-4E4F-92BF-A24670F1D20C}"/>
            </c:ext>
          </c:extLst>
        </c:ser>
        <c:ser>
          <c:idx val="2"/>
          <c:order val="2"/>
          <c:tx>
            <c:strRef>
              <c:f>'Margin formula and summary'!$R$3</c:f>
              <c:strCache>
                <c:ptCount val="1"/>
                <c:pt idx="0">
                  <c:v>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'Margin formula and summary'!$O$4:$O$5</c:f>
              <c:numCache>
                <c:formatCode>d\-mmm</c:formatCode>
                <c:ptCount val="2"/>
                <c:pt idx="0">
                  <c:v>46027</c:v>
                </c:pt>
                <c:pt idx="1">
                  <c:v>46031</c:v>
                </c:pt>
              </c:numCache>
            </c:numRef>
          </c:cat>
          <c:val>
            <c:numRef>
              <c:f>'Margin formula and summary'!$R$4:$R$5</c:f>
              <c:numCache>
                <c:formatCode>_(* #,##0_);_(* \(#,##0\);_(* "-"??_);_(@_)</c:formatCode>
                <c:ptCount val="2"/>
                <c:pt idx="0">
                  <c:v>5000000</c:v>
                </c:pt>
                <c:pt idx="1">
                  <c:v>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46-4E4F-92BF-A24670F1D20C}"/>
            </c:ext>
          </c:extLst>
        </c:ser>
        <c:ser>
          <c:idx val="3"/>
          <c:order val="3"/>
          <c:tx>
            <c:strRef>
              <c:f>'Margin formula and summary'!$S$3</c:f>
              <c:strCache>
                <c:ptCount val="1"/>
                <c:pt idx="0">
                  <c:v>EFF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'Margin formula and summary'!$O$4:$O$5</c:f>
              <c:numCache>
                <c:formatCode>d\-mmm</c:formatCode>
                <c:ptCount val="2"/>
                <c:pt idx="0">
                  <c:v>46027</c:v>
                </c:pt>
                <c:pt idx="1">
                  <c:v>46031</c:v>
                </c:pt>
              </c:numCache>
            </c:numRef>
          </c:cat>
          <c:val>
            <c:numRef>
              <c:f>'Margin formula and summary'!$S$4:$S$5</c:f>
              <c:numCache>
                <c:formatCode>_(* #,##0_);_(* \(#,##0\);_(* "-"??_);_(@_)</c:formatCode>
                <c:ptCount val="2"/>
                <c:pt idx="0">
                  <c:v>25000000</c:v>
                </c:pt>
                <c:pt idx="1">
                  <c:v>25000000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46-4E4F-92BF-A24670F1D20C}"/>
            </c:ext>
          </c:extLst>
        </c:ser>
        <c:ser>
          <c:idx val="4"/>
          <c:order val="4"/>
          <c:tx>
            <c:strRef>
              <c:f>'Margin formula and summary'!$T$3</c:f>
              <c:strCache>
                <c:ptCount val="1"/>
                <c:pt idx="0">
                  <c:v>Actual cost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'Margin formula and summary'!$O$4:$O$5</c:f>
              <c:numCache>
                <c:formatCode>d\-mmm</c:formatCode>
                <c:ptCount val="2"/>
                <c:pt idx="0">
                  <c:v>46027</c:v>
                </c:pt>
                <c:pt idx="1">
                  <c:v>46031</c:v>
                </c:pt>
              </c:numCache>
            </c:numRef>
          </c:cat>
          <c:val>
            <c:numRef>
              <c:f>'Margin formula and summary'!$T$4:$T$5</c:f>
              <c:numCache>
                <c:formatCode>_-* #,##0_-;\-* #,##0_-;_-* "-"??_-;_-@_-</c:formatCode>
                <c:ptCount val="2"/>
                <c:pt idx="0" formatCode="_(* #,##0_);_(* \(#,##0\);_(* &quot;-&quot;??_);_(@_)">
                  <c:v>0</c:v>
                </c:pt>
                <c:pt idx="1">
                  <c:v>191160105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46-4E4F-92BF-A24670F1D20C}"/>
            </c:ext>
          </c:extLst>
        </c:ser>
        <c:ser>
          <c:idx val="5"/>
          <c:order val="5"/>
          <c:tx>
            <c:strRef>
              <c:f>'Margin formula and summary'!$U$3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'Margin formula and summary'!$O$4:$O$5</c:f>
              <c:numCache>
                <c:formatCode>d\-mmm</c:formatCode>
                <c:ptCount val="2"/>
                <c:pt idx="0">
                  <c:v>46027</c:v>
                </c:pt>
                <c:pt idx="1">
                  <c:v>46031</c:v>
                </c:pt>
              </c:numCache>
            </c:numRef>
          </c:cat>
          <c:val>
            <c:numRef>
              <c:f>'Margin formula and summary'!$U$4:$U$5</c:f>
              <c:numCache>
                <c:formatCode>_(* #,##0_);_(* \(#,##0\);_(* "-"??_);_(@_)</c:formatCode>
                <c:ptCount val="2"/>
                <c:pt idx="0">
                  <c:v>405000000</c:v>
                </c:pt>
                <c:pt idx="1">
                  <c:v>213839895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46-4E4F-92BF-A24670F1D20C}"/>
            </c:ext>
          </c:extLst>
        </c:ser>
        <c:ser>
          <c:idx val="6"/>
          <c:order val="6"/>
          <c:tx>
            <c:strRef>
              <c:f>'Margin formula and summary'!$V$3</c:f>
              <c:strCache>
                <c:ptCount val="1"/>
                <c:pt idx="0">
                  <c:v>Prognosis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'Margin formula and summary'!$O$4:$O$5</c:f>
              <c:numCache>
                <c:formatCode>d\-mmm</c:formatCode>
                <c:ptCount val="2"/>
                <c:pt idx="0">
                  <c:v>46027</c:v>
                </c:pt>
                <c:pt idx="1">
                  <c:v>46031</c:v>
                </c:pt>
              </c:numCache>
            </c:numRef>
          </c:cat>
          <c:val>
            <c:numRef>
              <c:f>'Margin formula and summary'!$V$4:$V$5</c:f>
              <c:numCache>
                <c:formatCode>_-* #,##0_-;\-* #,##0_-;_-* "-"??_-;_-@_-</c:formatCode>
                <c:ptCount val="2"/>
                <c:pt idx="0" formatCode="_(* #,##0_);_(* \(#,##0\);_(* &quot;-&quot;??_);_(@_)">
                  <c:v>405000000</c:v>
                </c:pt>
                <c:pt idx="1">
                  <c:v>405000000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46-4E4F-92BF-A24670F1D20C}"/>
            </c:ext>
          </c:extLst>
        </c:ser>
        <c:ser>
          <c:idx val="7"/>
          <c:order val="7"/>
          <c:tx>
            <c:strRef>
              <c:f>'Margin formula and summary'!$W$3</c:f>
              <c:strCache>
                <c:ptCount val="1"/>
                <c:pt idx="0">
                  <c:v>Marginal Income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'Margin formula and summary'!$O$4:$O$5</c:f>
              <c:numCache>
                <c:formatCode>d\-mmm</c:formatCode>
                <c:ptCount val="2"/>
                <c:pt idx="0">
                  <c:v>46027</c:v>
                </c:pt>
                <c:pt idx="1">
                  <c:v>46031</c:v>
                </c:pt>
              </c:numCache>
            </c:numRef>
          </c:cat>
          <c:val>
            <c:numRef>
              <c:f>'Margin formula and summary'!$W$4:$W$5</c:f>
              <c:numCache>
                <c:formatCode>_(* #,##0_);_(* \(#,##0\);_(* "-"??_);_(@_)</c:formatCode>
                <c:ptCount val="2"/>
                <c:pt idx="0">
                  <c:v>65000000</c:v>
                </c:pt>
                <c:pt idx="1">
                  <c:v>65000000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46-4E4F-92BF-A24670F1D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4517040"/>
        <c:axId val="644514960"/>
      </c:lineChart>
      <c:lineChart>
        <c:grouping val="standard"/>
        <c:varyColors val="0"/>
        <c:ser>
          <c:idx val="8"/>
          <c:order val="8"/>
          <c:tx>
            <c:strRef>
              <c:f>'Margin formula and summary'!$X$3</c:f>
              <c:strCache>
                <c:ptCount val="1"/>
                <c:pt idx="0">
                  <c:v>Factor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'Margin formula and summary'!$O$4:$O$5</c:f>
              <c:numCache>
                <c:formatCode>d\-mmm</c:formatCode>
                <c:ptCount val="2"/>
                <c:pt idx="0">
                  <c:v>46027</c:v>
                </c:pt>
                <c:pt idx="1">
                  <c:v>46031</c:v>
                </c:pt>
              </c:numCache>
            </c:numRef>
          </c:cat>
          <c:val>
            <c:numRef>
              <c:f>'Margin formula and summary'!$X$4:$X$5</c:f>
              <c:numCache>
                <c:formatCode>#,##0.000_ ;\-#,##0.000\ </c:formatCode>
                <c:ptCount val="2"/>
                <c:pt idx="0">
                  <c:v>1.1494252873563218</c:v>
                </c:pt>
                <c:pt idx="1">
                  <c:v>1.1494252873563218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46-4E4F-92BF-A24670F1D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1987824"/>
        <c:axId val="231986576"/>
      </c:lineChart>
      <c:catAx>
        <c:axId val="64451704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14960"/>
        <c:crosses val="autoZero"/>
        <c:auto val="0"/>
        <c:lblAlgn val="ctr"/>
        <c:lblOffset val="100"/>
        <c:noMultiLvlLbl val="0"/>
      </c:catAx>
      <c:valAx>
        <c:axId val="6445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17040"/>
        <c:crossesAt val="46027"/>
        <c:crossBetween val="between"/>
      </c:valAx>
      <c:valAx>
        <c:axId val="231986576"/>
        <c:scaling>
          <c:orientation val="minMax"/>
          <c:max val="1.5"/>
          <c:min val="1"/>
        </c:scaling>
        <c:delete val="0"/>
        <c:axPos val="r"/>
        <c:numFmt formatCode="#,##0.000_ ;\-#,##0.00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87824"/>
        <c:crosses val="max"/>
        <c:crossBetween val="between"/>
      </c:valAx>
      <c:dateAx>
        <c:axId val="23198782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23198657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822960</xdr:colOff>
      <xdr:row>5</xdr:row>
      <xdr:rowOff>152400</xdr:rowOff>
    </xdr:from>
    <xdr:to>
      <xdr:col>22</xdr:col>
      <xdr:colOff>236220</xdr:colOff>
      <xdr:row>25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EF55D0-481C-5A83-019F-AE47ED9B3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1%20Projects/02%20TATA/01%20Pune/00%20Q501-Q502/01%20KALK/01_KALK/01_Comp_Kalk/Rev3/TML_Q5_Estimation_CL_Re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MM-ABW\W203\ETECHNIK\KALK_A1\BREMEN\VORBAU\LT_BRAV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iwelz/AppData/Local/Microsoft/Windows/Temporary%20Internet%20Files/Content.Outlook/JLIKL50D/150729_PBD_Light_V01_inkl%20Dienstleistungsrast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mcad\DOCUME~1\dz7tyk\LOCALS~1\Temp\c.program%20files.lotus.Notes.Data\~103103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01%20Projects/01%20Ford/00%20BX772%20Line/Bumper%20Piercing/RFQ/RFQ%20for%20BX772/RFQ%20for%20BX772/FLM%20Global%20%202011%20Std%20Supplier%20Quote%20%20Template-basic%20version-0812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KTE\AUDI\TT\AUFBAU\KALK\AUDI_AB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di-mi-storage\finance%20(rds)\Documents%20and%20Settings\bharvey\Local%20Settings\Temporary%20Internet%20Files\OLK8\Aug03%20Payroll-Mississipp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ata-work/Exel/Monthly%20Reports/PR_T3082_2000/PR_jan00_308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\PROJEKT\103300\MENG_GER\MA33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sv2k100\PCDATEN\Duepre\B.491000_2_BMW_E83\Statusberichte\PSP_E-83_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svnetapp01\daten\ld-rover\l359\vb\pd\01_Kosten\1.7_Statusbericht\LA_Sitzung\LA_Sitzung_050622\Statusbericht_Nolo_200506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.emea.tkse.group\tkdn\040708_technStatusber_Herstellpha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sv2k301\NOTHELFER\Angebote\3.%20Entwicklung\yK11_Hood_Tailgate_X4400_V&amp;A_ret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lo.emea.tkse.group\tkdn\DOKUME~1\hbattis\LOKALE~1\Temp\Rar$DI00.843\Aenderungsmanagement%20allgemein\3%20Aktuelle%20Vorlagen\PROJEKTE\DC_W211\&#196;nderungsmanagement\&#196;nderungen\Hauptlinie_Z1\Z1_014\&#196;nderungen\Hauptboden_HB\HB_001\HW\HW_005.X?7F46D799" TargetMode="External"/><Relationship Id="rId1" Type="http://schemas.openxmlformats.org/officeDocument/2006/relationships/externalLinkPath" Target="file:///\\7F46D799\HW_005.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lo.emea.tkse.group\tkdn\DOKUME~1\hbattis\LOKALE~1\Temp\Rar$DI00.843\Aenderungsmanagement%20allgemein\3%20Aktuelle%20Vorlagen\PROJEKTE\DC_W211\&#196;nderungsmanagement\&#196;nderungen\Hauptlinie_Z1\Z1_014\&#196;nderungen\Hauptboden_HB\HB_001\HW\HW_001.X?7F46D799" TargetMode="External"/><Relationship Id="rId1" Type="http://schemas.openxmlformats.org/officeDocument/2006/relationships/externalLinkPath" Target="file:///\\7F46D799\HW_001.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en/DCU126/Kalkulation/ABC2_010628_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ALK\MAKROS\PRODATM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svnetapp01\Daten\DATEN\Externe_Dateien\LandRover_T5\01_Kosten\Status_RB\Status_NoLo_030926\PSB_LR-T-5_VB-NoLo_09-03_Updat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E\01_Kalk_V5\01_Programm\02_Vorlagen\Comp-Datei_KalkV5_test2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v063596.000/LOCALS~1/Temp/Skickade%20till%20Jenny-Carina/50421_WMBC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01%20Projects/01%20Ford/00%20BX772%20Line/Bumper%20Piercing/RFQ/RFQ%20for%20BX772/RFQ%20for%20BX772/FNA/Documents%20and%20Settings/tcoppola/My%20Documents/C520/2010%20Standard%20Door%20Lines%20Quote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S"/>
      <sheetName val="WARRANTY"/>
      <sheetName val="BUDGET"/>
      <sheetName val="Quote Format"/>
      <sheetName val="Controls cost"/>
      <sheetName val="Units"/>
      <sheetName val="Q5_Equipment list"/>
      <sheetName val="Commercial  "/>
      <sheetName val="SUMMARY"/>
      <sheetName val="POS 1.01"/>
      <sheetName val="POS 1.02"/>
      <sheetName val="POS 1.03"/>
      <sheetName val="POS 1.04"/>
      <sheetName val="POS 1.05"/>
      <sheetName val="POS 1.06"/>
      <sheetName val="POS 1.07"/>
      <sheetName val="POS 1.08"/>
      <sheetName val="POS 1.09"/>
      <sheetName val="POS 1.10"/>
      <sheetName val="POS 1.11"/>
      <sheetName val="POS 1.12"/>
      <sheetName val="POS 1.13"/>
      <sheetName val="POS 1.14"/>
      <sheetName val="POS 1.15"/>
      <sheetName val="POS 1.16"/>
      <sheetName val="POS 1.17"/>
      <sheetName val="POS 1.18"/>
      <sheetName val="POS 1.19"/>
      <sheetName val="POS 1.20"/>
      <sheetName val="POS 1.21"/>
      <sheetName val="POS 1.22"/>
      <sheetName val="POS 1.23"/>
      <sheetName val="POS 1.24"/>
      <sheetName val="POS 1.25"/>
      <sheetName val="POS 1.26"/>
      <sheetName val="POS 1.27"/>
      <sheetName val="POS 1.28"/>
      <sheetName val="POS 1.29"/>
      <sheetName val="POS 1.30"/>
      <sheetName val="POS 1.31"/>
      <sheetName val="POS 1.32"/>
      <sheetName val="POS 1.33"/>
      <sheetName val="POS 1.34"/>
      <sheetName val="POS 1.35"/>
      <sheetName val="POS 1.36"/>
      <sheetName val="POS 1.37"/>
      <sheetName val="POS 1.38"/>
      <sheetName val="POS 1.39"/>
      <sheetName val="POS 1.40"/>
      <sheetName val="POS 1.41"/>
      <sheetName val="POS 1.42"/>
      <sheetName val="POS 1.43"/>
      <sheetName val="POS 1.44"/>
      <sheetName val="POS 1.45"/>
      <sheetName val="POS 1.46"/>
      <sheetName val="POS 1.47"/>
      <sheetName val="POS 1.48"/>
      <sheetName val="POS 1.49"/>
      <sheetName val="POS 1.50"/>
      <sheetName val="POS 1.51"/>
      <sheetName val="POS 1.52"/>
      <sheetName val="POS 1.53"/>
      <sheetName val="POS 1.54"/>
      <sheetName val="POS 1.55"/>
      <sheetName val="BASE"/>
      <sheetName val="CHANG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6">
          <cell r="F16">
            <v>0.15750000000000003</v>
          </cell>
        </row>
      </sheetData>
      <sheetData sheetId="65"/>
      <sheetData sheetId="6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BEL"/>
      <sheetName val="MAP"/>
      <sheetName val="Z1_W203"/>
      <sheetName val="E_A_AB_W203"/>
      <sheetName val="Kabeltrassenmaterial"/>
      <sheetName val="TB Std"/>
      <sheetName val="Deckblatt_Angebot"/>
      <sheetName val="Änderungsmanagement"/>
      <sheetName val="Beistellumfänge"/>
      <sheetName val="Mengengerüst Standardformul "/>
      <sheetName val="Zusatzblatt_Elektrotechnik Stan"/>
      <sheetName val="Hinweise zum Ausfüllen"/>
      <sheetName val="Deckblatt"/>
      <sheetName val="Base"/>
      <sheetName val="Groups"/>
      <sheetName val="Format"/>
      <sheetName val="Overview"/>
      <sheetName val="Components"/>
      <sheetName val="Formeln"/>
      <sheetName val="Mechanik"/>
      <sheetName val="Elektrik"/>
      <sheetName val="Programmierung"/>
      <sheetName val="Std.sätze"/>
      <sheetName val="Zuschläge"/>
      <sheetName val="TB_Std"/>
      <sheetName val="spez.Projektangaben "/>
      <sheetName val="Auswahlfelder"/>
      <sheetName val="Legend"/>
      <sheetName val="Stammblatt NICHT BEARBEITEN!!!"/>
      <sheetName val="Legen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hmendaten"/>
      <sheetName val="Zusammenfassung"/>
      <sheetName val="Hardware"/>
      <sheetName val="Stückliste Steuerschrank"/>
      <sheetName val="Auswahllisten"/>
    </sheetNames>
    <sheetDataSet>
      <sheetData sheetId="0"/>
      <sheetData sheetId="1"/>
      <sheetData sheetId="2"/>
      <sheetData sheetId="3"/>
      <sheetData sheetId="4">
        <row r="3">
          <cell r="A3" t="str">
            <v>Eigen</v>
          </cell>
        </row>
        <row r="4">
          <cell r="A4" t="str">
            <v>Fremd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"/>
      <sheetName val="typicals"/>
      <sheetName val="inputs"/>
      <sheetName val="det fix master"/>
      <sheetName val="det fix master (2)"/>
      <sheetName val="det fix master (3)"/>
      <sheetName val="det fix master (4)"/>
      <sheetName val="det fix master (5)"/>
      <sheetName val="det fix master (6)"/>
      <sheetName val="det fix master (7)"/>
      <sheetName val="det fix master (8)"/>
      <sheetName val="det fix master (9)"/>
      <sheetName val="det fix master (10)"/>
      <sheetName val="det fix master (11)"/>
      <sheetName val="det fix master (12)"/>
      <sheetName val="det fix master (13)"/>
      <sheetName val="det fix master (14)"/>
      <sheetName val="det fix master (15)"/>
      <sheetName val="det fix master (16)"/>
      <sheetName val="det fix master (17)"/>
      <sheetName val="det fix master (18)"/>
      <sheetName val="commodities"/>
      <sheetName val="changes"/>
      <sheetName val="Pneumatics Rate"/>
      <sheetName val="B"/>
    </sheetNames>
    <sheetDataSet>
      <sheetData sheetId="0"/>
      <sheetData sheetId="1"/>
      <sheetData sheetId="2">
        <row r="2">
          <cell r="C2">
            <v>45</v>
          </cell>
          <cell r="K2">
            <v>62535</v>
          </cell>
        </row>
        <row r="3">
          <cell r="C3">
            <v>42.5</v>
          </cell>
          <cell r="E3" t="str">
            <v>X</v>
          </cell>
        </row>
        <row r="4">
          <cell r="C4">
            <v>45</v>
          </cell>
        </row>
        <row r="7">
          <cell r="C7">
            <v>1</v>
          </cell>
          <cell r="E7">
            <v>0</v>
          </cell>
        </row>
        <row r="8">
          <cell r="C8">
            <v>1</v>
          </cell>
          <cell r="E8">
            <v>0</v>
          </cell>
        </row>
        <row r="34">
          <cell r="A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s"/>
      <sheetName val="Instructions"/>
      <sheetName val="Sign Off Sheet"/>
      <sheetName val="Total Quote Sum Pg-(3RD draft)"/>
      <sheetName val="Summary-IEGrp9&amp;8-UB Area (FNA) "/>
      <sheetName val="Sum-IEGrp9&amp;8-UB Area (Global)"/>
      <sheetName val="FSS"/>
      <sheetName val="Installation"/>
      <sheetName val="System Req"/>
      <sheetName val="Sub-Assy LO "/>
      <sheetName val="UB-Apron S.A.-Zone #1"/>
      <sheetName val="UB-Apron S.A.-Zone #1 Req"/>
      <sheetName val="Sta #10-Man Ld&amp;GEO"/>
      <sheetName val="Sta #20-Rbt&amp;Man Ld GEO"/>
      <sheetName val="Sta #30-Ped Weld&amp; Unld to Conv"/>
      <sheetName val="UB-Shock Tower S.A.  Zone #2"/>
      <sheetName val="UB-Shock Tower S.A.Zone #2 Req"/>
      <sheetName val="Sta #11 Man Ld &amp; Asm R&amp;LH"/>
      <sheetName val="Sta #12 Man Ld &amp; Respot R&amp;LH"/>
      <sheetName val="Sta #13 Man Ld &amp; Respot R&amp;LH"/>
      <sheetName val="Line or Zone #3"/>
      <sheetName val="Line or Zone #3 Req"/>
      <sheetName val="Sta #21"/>
      <sheetName val="Sta #22"/>
      <sheetName val="Sta #23"/>
      <sheetName val="Sta #24"/>
      <sheetName val="Line or Zone #4"/>
      <sheetName val="Line or Zone #4 Req"/>
      <sheetName val="Sta #31"/>
      <sheetName val="Sta #32"/>
      <sheetName val="Sta #33"/>
      <sheetName val="Sta #34"/>
      <sheetName val="FTF Sheet"/>
      <sheetName val="Below the Line"/>
      <sheetName val="Emerging Market Report"/>
      <sheetName val="Install 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2015 V408/410 BODYSHOP SELECTED SYSTEMS</v>
          </cell>
        </row>
        <row r="9">
          <cell r="BF9">
            <v>55.22</v>
          </cell>
          <cell r="BH9">
            <v>55.22</v>
          </cell>
          <cell r="BJ9">
            <v>50.26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fbau_Audi_TT"/>
      <sheetName val="E_A_Aufbau_Audi_TT"/>
      <sheetName val="SINH1"/>
      <sheetName val="Kabeltrassenmaterial"/>
      <sheetName val="KABEL"/>
      <sheetName val="AUDI_AB2"/>
      <sheetName val="Deckblatt"/>
      <sheetName val="MAP"/>
      <sheetName val="MAK3.XLM"/>
      <sheetName val="AUDI_AB2.XLS"/>
    </sheetNames>
    <definedNames>
      <definedName name="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 Accrual"/>
      <sheetName val="Mississippi"/>
    </sheetNames>
    <sheetDataSet>
      <sheetData sheetId="0" refreshError="1"/>
      <sheetData sheetId="1">
        <row r="2">
          <cell r="A2" t="str">
            <v>DEPT</v>
          </cell>
          <cell r="B2" t="str">
            <v>Last, First MI</v>
          </cell>
          <cell r="C2" t="str">
            <v>1421</v>
          </cell>
          <cell r="D2" t="str">
            <v>6000</v>
          </cell>
          <cell r="E2" t="str">
            <v>6014</v>
          </cell>
          <cell r="F2" t="str">
            <v>6001</v>
          </cell>
          <cell r="G2" t="str">
            <v>6151</v>
          </cell>
          <cell r="H2" t="str">
            <v>6080</v>
          </cell>
          <cell r="I2" t="str">
            <v>6105</v>
          </cell>
          <cell r="J2" t="str">
            <v>6106</v>
          </cell>
          <cell r="K2" t="str">
            <v>6108</v>
          </cell>
        </row>
        <row r="3">
          <cell r="A3" t="str">
            <v>35000</v>
          </cell>
          <cell r="B3" t="str">
            <v>Armstrong, Keisha S.</v>
          </cell>
          <cell r="C3" t="str">
            <v xml:space="preserve"> </v>
          </cell>
          <cell r="D3" t="str">
            <v xml:space="preserve"> </v>
          </cell>
          <cell r="E3" t="str">
            <v xml:space="preserve"> </v>
          </cell>
          <cell r="F3" t="str">
            <v xml:space="preserve"> </v>
          </cell>
          <cell r="G3" t="str">
            <v xml:space="preserve"> </v>
          </cell>
          <cell r="H3" t="str">
            <v xml:space="preserve"> </v>
          </cell>
          <cell r="I3" t="str">
            <v xml:space="preserve"> </v>
          </cell>
          <cell r="J3" t="str">
            <v xml:space="preserve"> </v>
          </cell>
          <cell r="K3" t="str">
            <v xml:space="preserve"> </v>
          </cell>
        </row>
        <row r="4">
          <cell r="A4" t="str">
            <v>35000</v>
          </cell>
          <cell r="B4" t="str">
            <v>Austin, Georgia H.</v>
          </cell>
          <cell r="C4" t="str">
            <v xml:space="preserve"> </v>
          </cell>
          <cell r="D4" t="str">
            <v xml:space="preserve"> </v>
          </cell>
          <cell r="E4" t="str">
            <v xml:space="preserve"> </v>
          </cell>
          <cell r="F4" t="str">
            <v xml:space="preserve"> </v>
          </cell>
          <cell r="G4" t="str">
            <v xml:space="preserve"> </v>
          </cell>
          <cell r="H4" t="str">
            <v xml:space="preserve"> </v>
          </cell>
          <cell r="I4" t="str">
            <v xml:space="preserve"> </v>
          </cell>
          <cell r="J4" t="str">
            <v xml:space="preserve"> </v>
          </cell>
          <cell r="K4" t="str">
            <v xml:space="preserve"> </v>
          </cell>
        </row>
        <row r="5">
          <cell r="A5" t="str">
            <v>35000</v>
          </cell>
          <cell r="B5" t="str">
            <v>Brown, Avery F.</v>
          </cell>
          <cell r="C5" t="str">
            <v xml:space="preserve"> </v>
          </cell>
          <cell r="D5" t="str">
            <v xml:space="preserve"> </v>
          </cell>
          <cell r="E5" t="str">
            <v xml:space="preserve"> </v>
          </cell>
          <cell r="F5" t="str">
            <v xml:space="preserve"> </v>
          </cell>
          <cell r="G5" t="str">
            <v xml:space="preserve"> </v>
          </cell>
          <cell r="H5" t="str">
            <v xml:space="preserve"> </v>
          </cell>
          <cell r="I5" t="str">
            <v xml:space="preserve"> </v>
          </cell>
          <cell r="J5" t="str">
            <v xml:space="preserve"> </v>
          </cell>
          <cell r="K5" t="str">
            <v xml:space="preserve"> </v>
          </cell>
        </row>
        <row r="6">
          <cell r="A6" t="str">
            <v>35000</v>
          </cell>
          <cell r="B6" t="str">
            <v>Brown, Marcus</v>
          </cell>
          <cell r="C6" t="str">
            <v xml:space="preserve"> </v>
          </cell>
          <cell r="D6" t="str">
            <v xml:space="preserve"> </v>
          </cell>
          <cell r="E6" t="str">
            <v xml:space="preserve"> </v>
          </cell>
          <cell r="F6" t="str">
            <v xml:space="preserve"> </v>
          </cell>
          <cell r="G6" t="str">
            <v xml:space="preserve"> </v>
          </cell>
          <cell r="H6" t="str">
            <v xml:space="preserve"> </v>
          </cell>
          <cell r="I6" t="str">
            <v xml:space="preserve"> </v>
          </cell>
          <cell r="J6" t="str">
            <v xml:space="preserve"> </v>
          </cell>
          <cell r="K6" t="str">
            <v xml:space="preserve"> </v>
          </cell>
        </row>
        <row r="7">
          <cell r="A7" t="str">
            <v>35000</v>
          </cell>
          <cell r="B7" t="str">
            <v>Butler, Katie</v>
          </cell>
          <cell r="C7" t="str">
            <v xml:space="preserve"> </v>
          </cell>
          <cell r="D7" t="str">
            <v xml:space="preserve"> </v>
          </cell>
          <cell r="E7" t="str">
            <v xml:space="preserve"> </v>
          </cell>
          <cell r="F7" t="str">
            <v xml:space="preserve"> </v>
          </cell>
          <cell r="G7" t="str">
            <v xml:space="preserve"> </v>
          </cell>
          <cell r="H7" t="str">
            <v xml:space="preserve"> </v>
          </cell>
          <cell r="I7" t="str">
            <v xml:space="preserve"> </v>
          </cell>
          <cell r="J7" t="str">
            <v xml:space="preserve"> </v>
          </cell>
          <cell r="K7" t="str">
            <v xml:space="preserve"> </v>
          </cell>
        </row>
        <row r="8">
          <cell r="A8" t="str">
            <v>35000</v>
          </cell>
          <cell r="B8" t="str">
            <v>Carter, Penny D.</v>
          </cell>
          <cell r="C8" t="str">
            <v xml:space="preserve"> </v>
          </cell>
          <cell r="D8" t="str">
            <v xml:space="preserve"> </v>
          </cell>
          <cell r="E8" t="str">
            <v xml:space="preserve"> </v>
          </cell>
          <cell r="F8" t="str">
            <v xml:space="preserve"> </v>
          </cell>
          <cell r="G8" t="str">
            <v xml:space="preserve"> </v>
          </cell>
          <cell r="H8" t="str">
            <v xml:space="preserve"> </v>
          </cell>
          <cell r="I8" t="str">
            <v xml:space="preserve"> </v>
          </cell>
          <cell r="J8" t="str">
            <v xml:space="preserve"> </v>
          </cell>
          <cell r="K8" t="str">
            <v xml:space="preserve"> </v>
          </cell>
        </row>
        <row r="9">
          <cell r="A9" t="str">
            <v>35000</v>
          </cell>
          <cell r="B9" t="str">
            <v>Chambers, Marcus L.</v>
          </cell>
          <cell r="C9" t="str">
            <v xml:space="preserve"> </v>
          </cell>
          <cell r="D9" t="str">
            <v xml:space="preserve"> </v>
          </cell>
          <cell r="E9" t="str">
            <v xml:space="preserve"> </v>
          </cell>
          <cell r="F9" t="str">
            <v xml:space="preserve"> </v>
          </cell>
          <cell r="G9" t="str">
            <v xml:space="preserve"> </v>
          </cell>
          <cell r="H9" t="str">
            <v xml:space="preserve"> </v>
          </cell>
          <cell r="I9" t="str">
            <v xml:space="preserve"> </v>
          </cell>
          <cell r="J9" t="str">
            <v xml:space="preserve"> </v>
          </cell>
          <cell r="K9" t="str">
            <v xml:space="preserve"> </v>
          </cell>
        </row>
        <row r="10">
          <cell r="A10" t="str">
            <v>35000</v>
          </cell>
          <cell r="B10" t="str">
            <v>Cole, Joyce A.</v>
          </cell>
          <cell r="C10" t="str">
            <v xml:space="preserve"> </v>
          </cell>
          <cell r="D10" t="str">
            <v xml:space="preserve"> </v>
          </cell>
          <cell r="E10" t="str">
            <v xml:space="preserve"> </v>
          </cell>
          <cell r="F10" t="str">
            <v xml:space="preserve"> </v>
          </cell>
          <cell r="G10" t="str">
            <v xml:space="preserve"> </v>
          </cell>
          <cell r="H10" t="str">
            <v xml:space="preserve"> </v>
          </cell>
          <cell r="I10" t="str">
            <v xml:space="preserve"> </v>
          </cell>
          <cell r="J10" t="str">
            <v xml:space="preserve"> </v>
          </cell>
          <cell r="K10" t="str">
            <v xml:space="preserve"> </v>
          </cell>
        </row>
        <row r="11">
          <cell r="A11" t="str">
            <v>35000</v>
          </cell>
          <cell r="B11" t="str">
            <v>Crump, Latasha N.</v>
          </cell>
          <cell r="C11" t="str">
            <v xml:space="preserve"> </v>
          </cell>
          <cell r="D11" t="str">
            <v xml:space="preserve"> </v>
          </cell>
          <cell r="E11" t="str">
            <v xml:space="preserve"> </v>
          </cell>
          <cell r="F11" t="str">
            <v xml:space="preserve"> </v>
          </cell>
          <cell r="G11" t="str">
            <v xml:space="preserve"> </v>
          </cell>
          <cell r="H11" t="str">
            <v xml:space="preserve"> </v>
          </cell>
          <cell r="I11" t="str">
            <v xml:space="preserve"> </v>
          </cell>
          <cell r="J11" t="str">
            <v xml:space="preserve"> </v>
          </cell>
          <cell r="K11" t="str">
            <v xml:space="preserve"> </v>
          </cell>
        </row>
        <row r="12">
          <cell r="A12" t="str">
            <v>35000</v>
          </cell>
          <cell r="B12" t="str">
            <v>Davis, Derwin</v>
          </cell>
          <cell r="C12" t="str">
            <v xml:space="preserve"> </v>
          </cell>
          <cell r="D12" t="str">
            <v xml:space="preserve"> </v>
          </cell>
          <cell r="E12" t="str">
            <v xml:space="preserve"> </v>
          </cell>
          <cell r="F12" t="str">
            <v xml:space="preserve"> </v>
          </cell>
          <cell r="G12" t="str">
            <v xml:space="preserve"> </v>
          </cell>
          <cell r="H12" t="str">
            <v xml:space="preserve"> </v>
          </cell>
          <cell r="I12" t="str">
            <v xml:space="preserve"> </v>
          </cell>
          <cell r="J12" t="str">
            <v xml:space="preserve"> </v>
          </cell>
          <cell r="K12" t="str">
            <v xml:space="preserve"> </v>
          </cell>
        </row>
        <row r="13">
          <cell r="A13" t="str">
            <v>35000</v>
          </cell>
          <cell r="B13" t="str">
            <v>Davis, Ricky D.</v>
          </cell>
          <cell r="C13" t="str">
            <v xml:space="preserve"> </v>
          </cell>
          <cell r="D13" t="str">
            <v xml:space="preserve"> </v>
          </cell>
          <cell r="E13" t="str">
            <v xml:space="preserve"> </v>
          </cell>
          <cell r="F13" t="str">
            <v xml:space="preserve"> </v>
          </cell>
          <cell r="G13" t="str">
            <v xml:space="preserve"> </v>
          </cell>
          <cell r="H13" t="str">
            <v xml:space="preserve"> </v>
          </cell>
          <cell r="I13" t="str">
            <v xml:space="preserve"> </v>
          </cell>
          <cell r="J13" t="str">
            <v xml:space="preserve"> </v>
          </cell>
          <cell r="K13" t="str">
            <v xml:space="preserve"> </v>
          </cell>
        </row>
        <row r="14">
          <cell r="A14" t="str">
            <v>35000</v>
          </cell>
          <cell r="B14" t="str">
            <v>Felton, Edwin C.</v>
          </cell>
          <cell r="C14" t="str">
            <v xml:space="preserve"> </v>
          </cell>
          <cell r="D14" t="str">
            <v xml:space="preserve"> </v>
          </cell>
          <cell r="E14" t="str">
            <v xml:space="preserve"> </v>
          </cell>
          <cell r="F14" t="str">
            <v xml:space="preserve"> </v>
          </cell>
          <cell r="G14" t="str">
            <v xml:space="preserve"> </v>
          </cell>
          <cell r="H14" t="str">
            <v xml:space="preserve"> </v>
          </cell>
          <cell r="I14" t="str">
            <v xml:space="preserve"> </v>
          </cell>
          <cell r="J14" t="str">
            <v xml:space="preserve"> </v>
          </cell>
          <cell r="K14" t="str">
            <v xml:space="preserve"> </v>
          </cell>
        </row>
        <row r="15">
          <cell r="A15" t="str">
            <v>35000</v>
          </cell>
          <cell r="B15" t="str">
            <v>Fletcher, Kimberly N.</v>
          </cell>
          <cell r="C15" t="str">
            <v xml:space="preserve"> </v>
          </cell>
          <cell r="D15" t="str">
            <v xml:space="preserve"> </v>
          </cell>
          <cell r="E15" t="str">
            <v xml:space="preserve"> </v>
          </cell>
          <cell r="F15" t="str">
            <v xml:space="preserve"> </v>
          </cell>
          <cell r="G15" t="str">
            <v xml:space="preserve"> </v>
          </cell>
          <cell r="H15" t="str">
            <v xml:space="preserve"> </v>
          </cell>
          <cell r="I15" t="str">
            <v xml:space="preserve"> </v>
          </cell>
          <cell r="J15" t="str">
            <v xml:space="preserve"> </v>
          </cell>
          <cell r="K15" t="str">
            <v xml:space="preserve"> </v>
          </cell>
        </row>
        <row r="16">
          <cell r="A16" t="str">
            <v>35000</v>
          </cell>
          <cell r="B16" t="str">
            <v>Green, Tammy T.</v>
          </cell>
          <cell r="C16" t="str">
            <v xml:space="preserve"> </v>
          </cell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</row>
        <row r="17">
          <cell r="A17" t="str">
            <v>35000</v>
          </cell>
          <cell r="B17" t="str">
            <v>Green, Willie J.</v>
          </cell>
          <cell r="C17" t="str">
            <v xml:space="preserve"> </v>
          </cell>
          <cell r="D17" t="str">
            <v xml:space="preserve"> </v>
          </cell>
          <cell r="E17" t="str">
            <v xml:space="preserve"> </v>
          </cell>
          <cell r="F17" t="str">
            <v xml:space="preserve"> </v>
          </cell>
          <cell r="G17" t="str">
            <v xml:space="preserve"> </v>
          </cell>
          <cell r="H17" t="str">
            <v xml:space="preserve"> </v>
          </cell>
          <cell r="I17" t="str">
            <v xml:space="preserve"> </v>
          </cell>
          <cell r="J17" t="str">
            <v xml:space="preserve"> </v>
          </cell>
          <cell r="K17" t="str">
            <v xml:space="preserve"> </v>
          </cell>
        </row>
        <row r="18">
          <cell r="A18" t="str">
            <v>35000</v>
          </cell>
          <cell r="B18" t="str">
            <v>Greer, Emma J.</v>
          </cell>
          <cell r="C18" t="str">
            <v xml:space="preserve"> </v>
          </cell>
          <cell r="D18" t="str">
            <v xml:space="preserve"> </v>
          </cell>
          <cell r="E18" t="str">
            <v xml:space="preserve"> </v>
          </cell>
          <cell r="F18" t="str">
            <v xml:space="preserve"> </v>
          </cell>
          <cell r="G18" t="str">
            <v xml:space="preserve"> </v>
          </cell>
          <cell r="H18" t="str">
            <v xml:space="preserve"> </v>
          </cell>
          <cell r="I18" t="str">
            <v xml:space="preserve"> </v>
          </cell>
          <cell r="J18" t="str">
            <v xml:space="preserve"> </v>
          </cell>
          <cell r="K18" t="str">
            <v xml:space="preserve"> </v>
          </cell>
        </row>
        <row r="19">
          <cell r="A19" t="str">
            <v>35000</v>
          </cell>
          <cell r="B19" t="str">
            <v>Grinston, Beatrice J.</v>
          </cell>
          <cell r="C19" t="str">
            <v xml:space="preserve"> </v>
          </cell>
          <cell r="D19" t="str">
            <v xml:space="preserve"> </v>
          </cell>
          <cell r="E19" t="str">
            <v xml:space="preserve"> </v>
          </cell>
          <cell r="F19" t="str">
            <v xml:space="preserve"> </v>
          </cell>
          <cell r="G19" t="str">
            <v xml:space="preserve"> </v>
          </cell>
          <cell r="H19" t="str">
            <v xml:space="preserve"> </v>
          </cell>
          <cell r="I19" t="str">
            <v xml:space="preserve"> </v>
          </cell>
          <cell r="J19" t="str">
            <v xml:space="preserve"> </v>
          </cell>
          <cell r="K19" t="str">
            <v xml:space="preserve"> </v>
          </cell>
        </row>
        <row r="20">
          <cell r="A20" t="str">
            <v>35000</v>
          </cell>
          <cell r="B20" t="str">
            <v>Hicks, John</v>
          </cell>
          <cell r="C20" t="str">
            <v xml:space="preserve"> </v>
          </cell>
          <cell r="D20" t="str">
            <v xml:space="preserve"> </v>
          </cell>
          <cell r="E20" t="str">
            <v xml:space="preserve"> </v>
          </cell>
          <cell r="F20" t="str">
            <v xml:space="preserve"> </v>
          </cell>
          <cell r="G20" t="str">
            <v xml:space="preserve"> </v>
          </cell>
          <cell r="H20" t="str">
            <v xml:space="preserve"> </v>
          </cell>
          <cell r="I20" t="str">
            <v xml:space="preserve"> </v>
          </cell>
          <cell r="J20" t="str">
            <v xml:space="preserve"> </v>
          </cell>
          <cell r="K20" t="str">
            <v xml:space="preserve"> </v>
          </cell>
        </row>
        <row r="21">
          <cell r="A21" t="str">
            <v>35000</v>
          </cell>
          <cell r="B21" t="str">
            <v>Jackson, Arnalia S.</v>
          </cell>
          <cell r="C21" t="str">
            <v xml:space="preserve">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G21" t="str">
            <v xml:space="preserve"> </v>
          </cell>
          <cell r="H21" t="str">
            <v xml:space="preserve"> </v>
          </cell>
          <cell r="I21" t="str">
            <v xml:space="preserve"> </v>
          </cell>
          <cell r="J21" t="str">
            <v xml:space="preserve"> </v>
          </cell>
          <cell r="K21" t="str">
            <v xml:space="preserve"> </v>
          </cell>
        </row>
        <row r="22">
          <cell r="A22" t="str">
            <v>35000</v>
          </cell>
          <cell r="B22" t="str">
            <v>James, Donetha</v>
          </cell>
          <cell r="C22" t="str">
            <v xml:space="preserve"> </v>
          </cell>
          <cell r="D22" t="str">
            <v xml:space="preserve"> </v>
          </cell>
          <cell r="E22" t="str">
            <v xml:space="preserve"> </v>
          </cell>
          <cell r="F22" t="str">
            <v xml:space="preserve"> </v>
          </cell>
          <cell r="G22" t="str">
            <v xml:space="preserve"> </v>
          </cell>
          <cell r="H22" t="str">
            <v xml:space="preserve"> </v>
          </cell>
          <cell r="I22" t="str">
            <v xml:space="preserve"> </v>
          </cell>
          <cell r="J22" t="str">
            <v xml:space="preserve"> </v>
          </cell>
          <cell r="K22" t="str">
            <v xml:space="preserve"> </v>
          </cell>
        </row>
        <row r="23">
          <cell r="A23" t="str">
            <v>35000</v>
          </cell>
          <cell r="B23" t="str">
            <v>Lucious, Patsy V.</v>
          </cell>
          <cell r="C23" t="str">
            <v xml:space="preserve"> </v>
          </cell>
          <cell r="D23" t="str">
            <v xml:space="preserve"> </v>
          </cell>
          <cell r="E23" t="str">
            <v xml:space="preserve"> </v>
          </cell>
          <cell r="F23" t="str">
            <v xml:space="preserve"> </v>
          </cell>
          <cell r="G23" t="str">
            <v xml:space="preserve"> </v>
          </cell>
          <cell r="H23" t="str">
            <v xml:space="preserve"> </v>
          </cell>
          <cell r="I23" t="str">
            <v xml:space="preserve"> </v>
          </cell>
          <cell r="J23" t="str">
            <v xml:space="preserve"> </v>
          </cell>
          <cell r="K23" t="str">
            <v xml:space="preserve"> </v>
          </cell>
        </row>
        <row r="24">
          <cell r="A24" t="str">
            <v>35000</v>
          </cell>
          <cell r="B24" t="str">
            <v>McBride, Brian R.</v>
          </cell>
          <cell r="C24" t="str">
            <v xml:space="preserve"> </v>
          </cell>
          <cell r="D24" t="str">
            <v xml:space="preserve"> </v>
          </cell>
          <cell r="E24" t="str">
            <v xml:space="preserve"> </v>
          </cell>
          <cell r="F24" t="str">
            <v xml:space="preserve"> </v>
          </cell>
          <cell r="G24" t="str">
            <v xml:space="preserve"> </v>
          </cell>
          <cell r="H24" t="str">
            <v xml:space="preserve"> </v>
          </cell>
          <cell r="I24" t="str">
            <v xml:space="preserve"> </v>
          </cell>
          <cell r="J24" t="str">
            <v xml:space="preserve"> </v>
          </cell>
          <cell r="K24" t="str">
            <v xml:space="preserve"> </v>
          </cell>
        </row>
        <row r="25">
          <cell r="A25" t="str">
            <v>35000</v>
          </cell>
          <cell r="B25" t="str">
            <v>McClendon, Adriania J.</v>
          </cell>
          <cell r="C25" t="str">
            <v xml:space="preserve"> </v>
          </cell>
          <cell r="D25" t="str">
            <v xml:space="preserve"> </v>
          </cell>
          <cell r="E25" t="str">
            <v xml:space="preserve"> </v>
          </cell>
          <cell r="F25" t="str">
            <v xml:space="preserve"> </v>
          </cell>
          <cell r="G25" t="str">
            <v xml:space="preserve"> </v>
          </cell>
          <cell r="H25" t="str">
            <v xml:space="preserve"> </v>
          </cell>
          <cell r="I25" t="str">
            <v xml:space="preserve"> </v>
          </cell>
          <cell r="J25" t="str">
            <v xml:space="preserve"> </v>
          </cell>
          <cell r="K25" t="str">
            <v xml:space="preserve"> </v>
          </cell>
        </row>
        <row r="26">
          <cell r="A26" t="str">
            <v>35000</v>
          </cell>
          <cell r="B26" t="str">
            <v>Miller, Antoine D.</v>
          </cell>
          <cell r="C26" t="str">
            <v xml:space="preserve"> </v>
          </cell>
          <cell r="D26" t="str">
            <v xml:space="preserve"> </v>
          </cell>
          <cell r="E26" t="str">
            <v xml:space="preserve"> </v>
          </cell>
          <cell r="F26" t="str">
            <v xml:space="preserve"> </v>
          </cell>
          <cell r="G26" t="str">
            <v xml:space="preserve"> </v>
          </cell>
          <cell r="H26" t="str">
            <v xml:space="preserve"> </v>
          </cell>
          <cell r="I26" t="str">
            <v xml:space="preserve"> </v>
          </cell>
          <cell r="J26" t="str">
            <v xml:space="preserve"> </v>
          </cell>
          <cell r="K26" t="str">
            <v xml:space="preserve"> </v>
          </cell>
        </row>
        <row r="27">
          <cell r="A27" t="str">
            <v>35000</v>
          </cell>
          <cell r="B27" t="str">
            <v>Milton, Sheila R.</v>
          </cell>
          <cell r="C27" t="str">
            <v xml:space="preserve"> </v>
          </cell>
          <cell r="D27" t="str">
            <v xml:space="preserve"> </v>
          </cell>
          <cell r="E27" t="str">
            <v xml:space="preserve"> </v>
          </cell>
          <cell r="F27" t="str">
            <v xml:space="preserve"> </v>
          </cell>
          <cell r="G27" t="str">
            <v xml:space="preserve"> </v>
          </cell>
          <cell r="H27" t="str">
            <v xml:space="preserve"> </v>
          </cell>
          <cell r="I27" t="str">
            <v xml:space="preserve"> </v>
          </cell>
          <cell r="J27" t="str">
            <v xml:space="preserve"> </v>
          </cell>
          <cell r="K27" t="str">
            <v xml:space="preserve"> </v>
          </cell>
        </row>
        <row r="28">
          <cell r="A28" t="str">
            <v>35000</v>
          </cell>
          <cell r="B28" t="str">
            <v>Moore, Christopher</v>
          </cell>
          <cell r="C28" t="str">
            <v xml:space="preserve"> </v>
          </cell>
          <cell r="D28" t="str">
            <v xml:space="preserve"> </v>
          </cell>
          <cell r="E28" t="str">
            <v xml:space="preserve"> </v>
          </cell>
          <cell r="F28" t="str">
            <v xml:space="preserve"> </v>
          </cell>
          <cell r="G28" t="str">
            <v xml:space="preserve"> </v>
          </cell>
          <cell r="H28" t="str">
            <v xml:space="preserve"> </v>
          </cell>
          <cell r="I28" t="str">
            <v xml:space="preserve"> </v>
          </cell>
          <cell r="J28" t="str">
            <v xml:space="preserve"> </v>
          </cell>
          <cell r="K28" t="str">
            <v xml:space="preserve"> </v>
          </cell>
        </row>
        <row r="29">
          <cell r="A29" t="str">
            <v>35000</v>
          </cell>
          <cell r="B29" t="str">
            <v>Moore, Terrance C.</v>
          </cell>
          <cell r="C29" t="str">
            <v xml:space="preserve"> </v>
          </cell>
          <cell r="D29" t="str">
            <v xml:space="preserve"> </v>
          </cell>
          <cell r="E29" t="str">
            <v xml:space="preserve"> </v>
          </cell>
          <cell r="F29" t="str">
            <v xml:space="preserve"> </v>
          </cell>
          <cell r="G29" t="str">
            <v xml:space="preserve"> </v>
          </cell>
          <cell r="H29" t="str">
            <v xml:space="preserve"> </v>
          </cell>
          <cell r="I29" t="str">
            <v xml:space="preserve"> </v>
          </cell>
          <cell r="J29" t="str">
            <v xml:space="preserve"> </v>
          </cell>
          <cell r="K29" t="str">
            <v xml:space="preserve"> </v>
          </cell>
        </row>
        <row r="30">
          <cell r="A30" t="str">
            <v>35000</v>
          </cell>
          <cell r="B30" t="str">
            <v>Morris, Gloria J.</v>
          </cell>
          <cell r="C30" t="str">
            <v xml:space="preserve"> </v>
          </cell>
          <cell r="D30" t="str">
            <v xml:space="preserve"> 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 t="str">
            <v xml:space="preserve"> </v>
          </cell>
          <cell r="I30" t="str">
            <v xml:space="preserve"> </v>
          </cell>
          <cell r="J30" t="str">
            <v xml:space="preserve"> </v>
          </cell>
          <cell r="K30" t="str">
            <v xml:space="preserve"> </v>
          </cell>
        </row>
        <row r="31">
          <cell r="A31" t="str">
            <v>35000</v>
          </cell>
          <cell r="B31" t="str">
            <v>Mosby, Marculis J.</v>
          </cell>
          <cell r="C31" t="str">
            <v xml:space="preserve"> </v>
          </cell>
          <cell r="D31" t="str">
            <v xml:space="preserve"> </v>
          </cell>
          <cell r="E31" t="str">
            <v xml:space="preserve"> </v>
          </cell>
          <cell r="F31" t="str">
            <v xml:space="preserve"> </v>
          </cell>
          <cell r="G31" t="str">
            <v xml:space="preserve"> </v>
          </cell>
          <cell r="H31" t="str">
            <v xml:space="preserve"> </v>
          </cell>
          <cell r="I31" t="str">
            <v xml:space="preserve"> </v>
          </cell>
          <cell r="J31" t="str">
            <v xml:space="preserve"> </v>
          </cell>
          <cell r="K31" t="str">
            <v xml:space="preserve"> </v>
          </cell>
        </row>
        <row r="32">
          <cell r="A32" t="str">
            <v>35000</v>
          </cell>
          <cell r="B32" t="str">
            <v>Peterson, Cornelius R.</v>
          </cell>
          <cell r="C32" t="str">
            <v xml:space="preserve"> </v>
          </cell>
          <cell r="D32" t="str">
            <v xml:space="preserve"> </v>
          </cell>
          <cell r="E32" t="str">
            <v xml:space="preserve"> </v>
          </cell>
          <cell r="F32" t="str">
            <v xml:space="preserve"> </v>
          </cell>
          <cell r="G32" t="str">
            <v xml:space="preserve"> </v>
          </cell>
          <cell r="H32" t="str">
            <v xml:space="preserve"> </v>
          </cell>
          <cell r="I32" t="str">
            <v xml:space="preserve"> </v>
          </cell>
          <cell r="J32" t="str">
            <v xml:space="preserve"> </v>
          </cell>
          <cell r="K32" t="str">
            <v xml:space="preserve"> </v>
          </cell>
        </row>
        <row r="33">
          <cell r="A33" t="str">
            <v>35000</v>
          </cell>
          <cell r="B33" t="str">
            <v>Rowser, Ronnie</v>
          </cell>
          <cell r="C33" t="str">
            <v xml:space="preserve"> </v>
          </cell>
          <cell r="D33" t="str">
            <v xml:space="preserve"> </v>
          </cell>
          <cell r="E33" t="str">
            <v xml:space="preserve"> </v>
          </cell>
          <cell r="F33" t="str">
            <v xml:space="preserve"> </v>
          </cell>
          <cell r="G33" t="str">
            <v xml:space="preserve"> </v>
          </cell>
          <cell r="H33" t="str">
            <v xml:space="preserve"> </v>
          </cell>
          <cell r="I33" t="str">
            <v xml:space="preserve"> </v>
          </cell>
          <cell r="J33" t="str">
            <v xml:space="preserve"> </v>
          </cell>
          <cell r="K33" t="str">
            <v xml:space="preserve"> </v>
          </cell>
        </row>
        <row r="34">
          <cell r="A34" t="str">
            <v>35000</v>
          </cell>
          <cell r="B34" t="str">
            <v>Sutton, Angela L.</v>
          </cell>
          <cell r="C34" t="str">
            <v xml:space="preserve"> </v>
          </cell>
          <cell r="D34" t="str">
            <v xml:space="preserve"> </v>
          </cell>
          <cell r="E34" t="str">
            <v xml:space="preserve"> </v>
          </cell>
          <cell r="F34" t="str">
            <v xml:space="preserve"> </v>
          </cell>
          <cell r="G34" t="str">
            <v xml:space="preserve"> </v>
          </cell>
          <cell r="H34" t="str">
            <v xml:space="preserve"> </v>
          </cell>
          <cell r="I34" t="str">
            <v xml:space="preserve"> </v>
          </cell>
          <cell r="J34" t="str">
            <v xml:space="preserve"> </v>
          </cell>
          <cell r="K34" t="str">
            <v xml:space="preserve"> </v>
          </cell>
        </row>
        <row r="35">
          <cell r="A35" t="str">
            <v>35000</v>
          </cell>
          <cell r="B35" t="str">
            <v>Tedford, David S.</v>
          </cell>
          <cell r="C35" t="str">
            <v xml:space="preserve"> </v>
          </cell>
          <cell r="D35" t="str">
            <v xml:space="preserve"> </v>
          </cell>
          <cell r="E35" t="str">
            <v xml:space="preserve"> </v>
          </cell>
          <cell r="F35" t="str">
            <v xml:space="preserve"> </v>
          </cell>
          <cell r="G35" t="str">
            <v xml:space="preserve"> </v>
          </cell>
          <cell r="H35" t="str">
            <v xml:space="preserve"> </v>
          </cell>
          <cell r="I35" t="str">
            <v xml:space="preserve"> </v>
          </cell>
          <cell r="J35" t="str">
            <v xml:space="preserve"> </v>
          </cell>
          <cell r="K35" t="str">
            <v xml:space="preserve"> </v>
          </cell>
        </row>
        <row r="36">
          <cell r="A36" t="str">
            <v>35000</v>
          </cell>
          <cell r="B36" t="str">
            <v>Thomas, Santhan M.</v>
          </cell>
          <cell r="C36" t="str">
            <v xml:space="preserve"> </v>
          </cell>
          <cell r="D36" t="str">
            <v xml:space="preserve"> </v>
          </cell>
          <cell r="E36" t="str">
            <v xml:space="preserve"> </v>
          </cell>
          <cell r="F36" t="str">
            <v xml:space="preserve"> </v>
          </cell>
          <cell r="G36" t="str">
            <v xml:space="preserve"> </v>
          </cell>
          <cell r="H36" t="str">
            <v xml:space="preserve"> </v>
          </cell>
          <cell r="I36" t="str">
            <v xml:space="preserve"> </v>
          </cell>
          <cell r="J36" t="str">
            <v xml:space="preserve"> </v>
          </cell>
          <cell r="K36" t="str">
            <v xml:space="preserve"> </v>
          </cell>
        </row>
        <row r="37">
          <cell r="A37" t="str">
            <v>35000</v>
          </cell>
          <cell r="B37" t="str">
            <v>Warren, Joe A.</v>
          </cell>
          <cell r="C37" t="str">
            <v xml:space="preserve"> </v>
          </cell>
          <cell r="D37" t="str">
            <v xml:space="preserve"> </v>
          </cell>
          <cell r="E37" t="str">
            <v xml:space="preserve"> </v>
          </cell>
          <cell r="F37" t="str">
            <v xml:space="preserve"> </v>
          </cell>
          <cell r="G37" t="str">
            <v xml:space="preserve"> </v>
          </cell>
          <cell r="H37" t="str">
            <v xml:space="preserve"> </v>
          </cell>
          <cell r="I37" t="str">
            <v xml:space="preserve"> </v>
          </cell>
          <cell r="J37" t="str">
            <v xml:space="preserve"> </v>
          </cell>
          <cell r="K37" t="str">
            <v xml:space="preserve"> </v>
          </cell>
        </row>
        <row r="38">
          <cell r="A38" t="str">
            <v>35000</v>
          </cell>
          <cell r="B38" t="str">
            <v>Wells, Trennis</v>
          </cell>
          <cell r="C38" t="str">
            <v xml:space="preserve"> </v>
          </cell>
          <cell r="D38" t="str">
            <v xml:space="preserve"> </v>
          </cell>
          <cell r="E38" t="str">
            <v xml:space="preserve"> </v>
          </cell>
          <cell r="F38" t="str">
            <v xml:space="preserve"> </v>
          </cell>
          <cell r="G38" t="str">
            <v xml:space="preserve"> </v>
          </cell>
          <cell r="H38" t="str">
            <v xml:space="preserve"> </v>
          </cell>
          <cell r="I38" t="str">
            <v xml:space="preserve"> </v>
          </cell>
          <cell r="J38" t="str">
            <v xml:space="preserve"> </v>
          </cell>
          <cell r="K38" t="str">
            <v xml:space="preserve"> </v>
          </cell>
        </row>
        <row r="39">
          <cell r="A39" t="str">
            <v>35000</v>
          </cell>
          <cell r="B39" t="str">
            <v>Wilborn, James O.</v>
          </cell>
          <cell r="C39" t="str">
            <v xml:space="preserve"> </v>
          </cell>
          <cell r="D39" t="str">
            <v xml:space="preserve"> </v>
          </cell>
          <cell r="E39" t="str">
            <v xml:space="preserve"> </v>
          </cell>
          <cell r="F39" t="str">
            <v xml:space="preserve"> </v>
          </cell>
          <cell r="G39" t="str">
            <v xml:space="preserve"> </v>
          </cell>
          <cell r="H39" t="str">
            <v xml:space="preserve"> </v>
          </cell>
          <cell r="I39" t="str">
            <v xml:space="preserve"> </v>
          </cell>
          <cell r="J39" t="str">
            <v xml:space="preserve"> </v>
          </cell>
          <cell r="K39" t="str">
            <v xml:space="preserve"> </v>
          </cell>
        </row>
        <row r="40">
          <cell r="A40" t="str">
            <v>35000</v>
          </cell>
          <cell r="B40" t="str">
            <v>Williams, LeRoya R.</v>
          </cell>
          <cell r="C40" t="str">
            <v xml:space="preserve"> </v>
          </cell>
          <cell r="D40" t="str">
            <v xml:space="preserve"> </v>
          </cell>
          <cell r="E40" t="str">
            <v xml:space="preserve"> </v>
          </cell>
          <cell r="F40" t="str">
            <v xml:space="preserve"> </v>
          </cell>
          <cell r="G40" t="str">
            <v xml:space="preserve"> </v>
          </cell>
          <cell r="H40" t="str">
            <v xml:space="preserve"> </v>
          </cell>
          <cell r="I40" t="str">
            <v xml:space="preserve"> </v>
          </cell>
          <cell r="J40" t="str">
            <v xml:space="preserve"> </v>
          </cell>
          <cell r="K40" t="str">
            <v xml:space="preserve"> </v>
          </cell>
        </row>
        <row r="41">
          <cell r="A41">
            <v>35000</v>
          </cell>
          <cell r="B41" t="str">
            <v>Wayboer, Paul J.-100%</v>
          </cell>
          <cell r="C41" t="str">
            <v xml:space="preserve"> </v>
          </cell>
          <cell r="D41" t="str">
            <v xml:space="preserve"> </v>
          </cell>
          <cell r="E41" t="str">
            <v xml:space="preserve"> </v>
          </cell>
          <cell r="F41" t="str">
            <v xml:space="preserve"> </v>
          </cell>
          <cell r="G41" t="str">
            <v xml:space="preserve"> </v>
          </cell>
          <cell r="H41" t="str">
            <v xml:space="preserve"> </v>
          </cell>
          <cell r="I41" t="str">
            <v xml:space="preserve"> </v>
          </cell>
          <cell r="J41" t="str">
            <v xml:space="preserve"> </v>
          </cell>
          <cell r="K41" t="str">
            <v xml:space="preserve"> </v>
          </cell>
        </row>
        <row r="42">
          <cell r="B42" t="str">
            <v>Payroll Subtotal</v>
          </cell>
          <cell r="C42">
            <v>38677.5</v>
          </cell>
          <cell r="D42">
            <v>21722.2</v>
          </cell>
          <cell r="E42">
            <v>348</v>
          </cell>
          <cell r="F42">
            <v>30284.5</v>
          </cell>
          <cell r="G42">
            <v>0</v>
          </cell>
          <cell r="H42">
            <v>2664.82</v>
          </cell>
          <cell r="I42">
            <v>6847.17</v>
          </cell>
          <cell r="J42">
            <v>243.4</v>
          </cell>
          <cell r="K42">
            <v>821.54</v>
          </cell>
        </row>
        <row r="43">
          <cell r="B43" t="str">
            <v>Reversal</v>
          </cell>
          <cell r="C43">
            <v>-20952</v>
          </cell>
          <cell r="D43">
            <v>-11609.19</v>
          </cell>
          <cell r="E43">
            <v>-880.88</v>
          </cell>
          <cell r="F43">
            <v>-5573.82</v>
          </cell>
          <cell r="G43">
            <v>0</v>
          </cell>
          <cell r="H43">
            <v>-1228.9000000000001</v>
          </cell>
          <cell r="I43">
            <v>-2904.07</v>
          </cell>
          <cell r="J43">
            <v>-161.86000000000001</v>
          </cell>
          <cell r="K43">
            <v>-555.74</v>
          </cell>
        </row>
        <row r="44">
          <cell r="B44" t="str">
            <v>Accrual (10 days)</v>
          </cell>
          <cell r="C44">
            <v>19338.75</v>
          </cell>
          <cell r="D44">
            <v>10861.1</v>
          </cell>
          <cell r="E44">
            <v>174</v>
          </cell>
          <cell r="F44">
            <v>15142.25</v>
          </cell>
          <cell r="G44">
            <v>0</v>
          </cell>
          <cell r="H44">
            <v>1332.41</v>
          </cell>
          <cell r="I44">
            <v>3423.5849999999991</v>
          </cell>
          <cell r="J44">
            <v>121.7</v>
          </cell>
          <cell r="K44">
            <v>410.77</v>
          </cell>
        </row>
        <row r="45">
          <cell r="B45" t="str">
            <v>Adjustment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B46" t="str">
            <v>Payroll Total</v>
          </cell>
          <cell r="C46">
            <v>37064.25</v>
          </cell>
          <cell r="D46">
            <v>20974.11</v>
          </cell>
          <cell r="E46">
            <v>-358.88</v>
          </cell>
          <cell r="F46">
            <v>39852.93</v>
          </cell>
          <cell r="G46">
            <v>0</v>
          </cell>
          <cell r="H46">
            <v>2768.33</v>
          </cell>
          <cell r="I46">
            <v>7366.6849999999977</v>
          </cell>
          <cell r="J46">
            <v>203.24</v>
          </cell>
          <cell r="K46">
            <v>676.57</v>
          </cell>
        </row>
        <row r="48">
          <cell r="A48" t="str">
            <v>35410</v>
          </cell>
          <cell r="B48" t="str">
            <v>Barba, Javier P.</v>
          </cell>
          <cell r="C48" t="str">
            <v xml:space="preserve"> </v>
          </cell>
          <cell r="D48" t="str">
            <v xml:space="preserve"> </v>
          </cell>
          <cell r="E48" t="str">
            <v xml:space="preserve"> </v>
          </cell>
          <cell r="F48" t="str">
            <v xml:space="preserve"> </v>
          </cell>
          <cell r="G48" t="str">
            <v xml:space="preserve"> </v>
          </cell>
          <cell r="H48" t="str">
            <v xml:space="preserve"> </v>
          </cell>
          <cell r="I48" t="str">
            <v xml:space="preserve"> </v>
          </cell>
          <cell r="J48" t="str">
            <v xml:space="preserve"> </v>
          </cell>
          <cell r="K48" t="str">
            <v xml:space="preserve"> </v>
          </cell>
        </row>
        <row r="49">
          <cell r="A49" t="str">
            <v>35410</v>
          </cell>
          <cell r="B49" t="str">
            <v>Gavagan, Kimberly A.</v>
          </cell>
          <cell r="C49" t="str">
            <v xml:space="preserve"> </v>
          </cell>
          <cell r="D49" t="str">
            <v xml:space="preserve"> </v>
          </cell>
          <cell r="E49" t="str">
            <v xml:space="preserve"> </v>
          </cell>
          <cell r="F49" t="str">
            <v xml:space="preserve"> </v>
          </cell>
          <cell r="G49" t="str">
            <v xml:space="preserve"> </v>
          </cell>
          <cell r="H49" t="str">
            <v xml:space="preserve"> </v>
          </cell>
          <cell r="I49" t="str">
            <v xml:space="preserve"> </v>
          </cell>
          <cell r="J49" t="str">
            <v xml:space="preserve"> </v>
          </cell>
          <cell r="K49" t="str">
            <v xml:space="preserve"> </v>
          </cell>
        </row>
        <row r="50">
          <cell r="A50" t="str">
            <v>35410</v>
          </cell>
          <cell r="B50" t="str">
            <v>Padilla Diaz De Leon, Jorge A.</v>
          </cell>
          <cell r="C50" t="str">
            <v xml:space="preserve"> </v>
          </cell>
          <cell r="D50" t="str">
            <v xml:space="preserve"> </v>
          </cell>
          <cell r="E50" t="str">
            <v xml:space="preserve"> </v>
          </cell>
          <cell r="F50" t="str">
            <v xml:space="preserve"> </v>
          </cell>
          <cell r="G50" t="str">
            <v xml:space="preserve"> </v>
          </cell>
          <cell r="H50" t="str">
            <v xml:space="preserve"> </v>
          </cell>
          <cell r="I50" t="str">
            <v xml:space="preserve"> </v>
          </cell>
          <cell r="J50" t="str">
            <v xml:space="preserve"> </v>
          </cell>
          <cell r="K50" t="str">
            <v xml:space="preserve"> </v>
          </cell>
        </row>
        <row r="51">
          <cell r="A51" t="str">
            <v>35410</v>
          </cell>
          <cell r="B51" t="str">
            <v>Quijas, Jorge</v>
          </cell>
          <cell r="C51" t="str">
            <v xml:space="preserve"> </v>
          </cell>
          <cell r="D51" t="str">
            <v xml:space="preserve"> </v>
          </cell>
          <cell r="E51" t="str">
            <v xml:space="preserve"> </v>
          </cell>
          <cell r="F51" t="str">
            <v xml:space="preserve"> </v>
          </cell>
          <cell r="G51" t="str">
            <v xml:space="preserve"> </v>
          </cell>
          <cell r="H51" t="str">
            <v xml:space="preserve"> </v>
          </cell>
          <cell r="I51" t="str">
            <v xml:space="preserve"> </v>
          </cell>
          <cell r="J51" t="str">
            <v xml:space="preserve"> </v>
          </cell>
          <cell r="K51" t="str">
            <v xml:space="preserve"> </v>
          </cell>
        </row>
        <row r="52">
          <cell r="A52">
            <v>35410</v>
          </cell>
          <cell r="B52" t="str">
            <v>Swaminathan, Mohan-100%</v>
          </cell>
          <cell r="C52" t="str">
            <v xml:space="preserve"> </v>
          </cell>
          <cell r="D52" t="str">
            <v xml:space="preserve"> </v>
          </cell>
          <cell r="E52" t="str">
            <v xml:space="preserve"> </v>
          </cell>
          <cell r="F52" t="str">
            <v xml:space="preserve"> </v>
          </cell>
          <cell r="G52" t="str">
            <v xml:space="preserve"> </v>
          </cell>
          <cell r="H52" t="str">
            <v xml:space="preserve"> </v>
          </cell>
          <cell r="I52" t="str">
            <v xml:space="preserve"> </v>
          </cell>
          <cell r="J52" t="str">
            <v xml:space="preserve"> </v>
          </cell>
          <cell r="K52" t="str">
            <v xml:space="preserve"> </v>
          </cell>
        </row>
        <row r="53">
          <cell r="B53" t="str">
            <v>Payroll Subtotal</v>
          </cell>
          <cell r="C53">
            <v>0</v>
          </cell>
          <cell r="D53">
            <v>18580.02</v>
          </cell>
          <cell r="E53">
            <v>0</v>
          </cell>
          <cell r="F53">
            <v>2101.12</v>
          </cell>
          <cell r="G53">
            <v>0</v>
          </cell>
          <cell r="H53">
            <v>659.98</v>
          </cell>
          <cell r="I53">
            <v>1558.95</v>
          </cell>
          <cell r="J53">
            <v>9.8000000000000007</v>
          </cell>
          <cell r="K53">
            <v>33.090000000000003</v>
          </cell>
        </row>
        <row r="54">
          <cell r="B54" t="str">
            <v>Reversal</v>
          </cell>
          <cell r="C54">
            <v>0</v>
          </cell>
          <cell r="D54">
            <v>-3671.8</v>
          </cell>
          <cell r="E54">
            <v>0</v>
          </cell>
          <cell r="F54">
            <v>-227.18</v>
          </cell>
          <cell r="G54">
            <v>0</v>
          </cell>
          <cell r="H54">
            <v>-132</v>
          </cell>
          <cell r="I54">
            <v>-259.73</v>
          </cell>
          <cell r="J54">
            <v>-10.33</v>
          </cell>
          <cell r="K54">
            <v>-21.11</v>
          </cell>
        </row>
        <row r="55">
          <cell r="B55" t="str">
            <v>Accrual (5 days)</v>
          </cell>
          <cell r="C55">
            <v>0</v>
          </cell>
          <cell r="D55">
            <v>4645.0050000000001</v>
          </cell>
          <cell r="E55">
            <v>0</v>
          </cell>
          <cell r="F55">
            <v>525.28</v>
          </cell>
          <cell r="G55">
            <v>0</v>
          </cell>
          <cell r="H55">
            <v>164.995</v>
          </cell>
          <cell r="I55">
            <v>389.73750000000001</v>
          </cell>
          <cell r="J55">
            <v>2.4500000000000002</v>
          </cell>
          <cell r="K55">
            <v>8.2725000000000009</v>
          </cell>
        </row>
        <row r="56">
          <cell r="B56" t="str">
            <v>Adjustment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</row>
        <row r="57">
          <cell r="B57" t="str">
            <v>Payroll Total</v>
          </cell>
          <cell r="C57">
            <v>0</v>
          </cell>
          <cell r="D57">
            <v>19553.225000000002</v>
          </cell>
          <cell r="E57">
            <v>0</v>
          </cell>
          <cell r="F57">
            <v>2399.2199999999998</v>
          </cell>
          <cell r="G57">
            <v>0</v>
          </cell>
          <cell r="H57">
            <v>692.97500000000002</v>
          </cell>
          <cell r="I57">
            <v>1688.9575000000004</v>
          </cell>
          <cell r="J57">
            <v>1.92</v>
          </cell>
          <cell r="K57">
            <v>20.252500000000001</v>
          </cell>
        </row>
        <row r="59">
          <cell r="A59" t="str">
            <v>35430</v>
          </cell>
          <cell r="B59" t="str">
            <v>Hall, Theresa M.</v>
          </cell>
          <cell r="C59" t="str">
            <v xml:space="preserve"> </v>
          </cell>
          <cell r="D59" t="str">
            <v xml:space="preserve"> </v>
          </cell>
          <cell r="E59" t="str">
            <v xml:space="preserve"> </v>
          </cell>
          <cell r="F59" t="str">
            <v xml:space="preserve"> </v>
          </cell>
          <cell r="G59" t="str">
            <v xml:space="preserve"> </v>
          </cell>
          <cell r="H59" t="str">
            <v xml:space="preserve"> </v>
          </cell>
          <cell r="I59" t="str">
            <v xml:space="preserve"> </v>
          </cell>
          <cell r="J59" t="str">
            <v xml:space="preserve"> </v>
          </cell>
          <cell r="K59" t="str">
            <v xml:space="preserve"> </v>
          </cell>
        </row>
        <row r="60">
          <cell r="A60">
            <v>35430</v>
          </cell>
          <cell r="B60" t="str">
            <v>Boleware, Jim C.-25%</v>
          </cell>
          <cell r="C60" t="str">
            <v xml:space="preserve"> </v>
          </cell>
          <cell r="D60" t="str">
            <v xml:space="preserve"> </v>
          </cell>
          <cell r="E60" t="str">
            <v xml:space="preserve"> </v>
          </cell>
          <cell r="F60" t="str">
            <v xml:space="preserve"> </v>
          </cell>
          <cell r="G60" t="str">
            <v xml:space="preserve"> </v>
          </cell>
          <cell r="H60" t="str">
            <v xml:space="preserve"> </v>
          </cell>
          <cell r="I60" t="str">
            <v xml:space="preserve"> </v>
          </cell>
          <cell r="J60" t="str">
            <v xml:space="preserve"> </v>
          </cell>
          <cell r="K60" t="str">
            <v xml:space="preserve"> </v>
          </cell>
        </row>
        <row r="61">
          <cell r="A61">
            <v>35430</v>
          </cell>
          <cell r="B61" t="str">
            <v>Gale, Margaret-25%</v>
          </cell>
          <cell r="C61" t="str">
            <v xml:space="preserve"> </v>
          </cell>
          <cell r="D61" t="str">
            <v xml:space="preserve"> </v>
          </cell>
          <cell r="E61" t="str">
            <v xml:space="preserve"> </v>
          </cell>
          <cell r="F61" t="str">
            <v xml:space="preserve"> </v>
          </cell>
          <cell r="G61" t="str">
            <v xml:space="preserve"> </v>
          </cell>
          <cell r="H61" t="str">
            <v xml:space="preserve"> </v>
          </cell>
          <cell r="I61" t="str">
            <v xml:space="preserve"> </v>
          </cell>
          <cell r="J61" t="str">
            <v xml:space="preserve"> </v>
          </cell>
          <cell r="K61" t="str">
            <v xml:space="preserve"> </v>
          </cell>
        </row>
        <row r="62">
          <cell r="B62" t="str">
            <v>Payroll Subtotal</v>
          </cell>
          <cell r="C62">
            <v>0</v>
          </cell>
          <cell r="D62">
            <v>5990.7750000000005</v>
          </cell>
          <cell r="E62">
            <v>0</v>
          </cell>
          <cell r="F62">
            <v>0</v>
          </cell>
          <cell r="G62">
            <v>0</v>
          </cell>
          <cell r="H62">
            <v>239.22499999999999</v>
          </cell>
          <cell r="I62">
            <v>450.61500000000001</v>
          </cell>
          <cell r="J62">
            <v>0</v>
          </cell>
          <cell r="K62">
            <v>0</v>
          </cell>
        </row>
        <row r="63">
          <cell r="B63" t="str">
            <v>Reversal</v>
          </cell>
          <cell r="C63">
            <v>0</v>
          </cell>
          <cell r="D63">
            <v>-1198.1500000000001</v>
          </cell>
          <cell r="E63">
            <v>0</v>
          </cell>
          <cell r="F63">
            <v>0</v>
          </cell>
          <cell r="G63">
            <v>0</v>
          </cell>
          <cell r="H63">
            <v>-47.85</v>
          </cell>
          <cell r="I63">
            <v>-90.12</v>
          </cell>
          <cell r="J63">
            <v>0</v>
          </cell>
          <cell r="K63">
            <v>0</v>
          </cell>
        </row>
        <row r="64">
          <cell r="B64" t="str">
            <v>Accrual (5 days)</v>
          </cell>
          <cell r="C64">
            <v>0</v>
          </cell>
          <cell r="D64">
            <v>1497.6937500000004</v>
          </cell>
          <cell r="E64">
            <v>0</v>
          </cell>
          <cell r="F64">
            <v>0</v>
          </cell>
          <cell r="G64">
            <v>0</v>
          </cell>
          <cell r="H64">
            <v>59.806249999999999</v>
          </cell>
          <cell r="I64">
            <v>112.65375</v>
          </cell>
          <cell r="J64">
            <v>0</v>
          </cell>
          <cell r="K64">
            <v>0</v>
          </cell>
        </row>
        <row r="65">
          <cell r="B65" t="str">
            <v>Adjustment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B66" t="str">
            <v>Payroll Total</v>
          </cell>
          <cell r="C66">
            <v>0</v>
          </cell>
          <cell r="D66">
            <v>6290.3187500000004</v>
          </cell>
          <cell r="E66">
            <v>0</v>
          </cell>
          <cell r="F66">
            <v>0</v>
          </cell>
          <cell r="G66">
            <v>0</v>
          </cell>
          <cell r="H66">
            <v>251.18125000000001</v>
          </cell>
          <cell r="I66">
            <v>473.14875000000001</v>
          </cell>
          <cell r="J66">
            <v>0</v>
          </cell>
          <cell r="K66">
            <v>0</v>
          </cell>
        </row>
        <row r="68">
          <cell r="A68" t="str">
            <v>35450</v>
          </cell>
          <cell r="B68" t="str">
            <v>Ellis, Michael S.</v>
          </cell>
          <cell r="C68" t="str">
            <v xml:space="preserve"> </v>
          </cell>
          <cell r="D68" t="str">
            <v xml:space="preserve"> </v>
          </cell>
          <cell r="E68" t="str">
            <v xml:space="preserve"> </v>
          </cell>
          <cell r="F68" t="str">
            <v xml:space="preserve"> </v>
          </cell>
          <cell r="G68" t="str">
            <v xml:space="preserve"> </v>
          </cell>
          <cell r="H68" t="str">
            <v xml:space="preserve"> </v>
          </cell>
          <cell r="I68" t="str">
            <v xml:space="preserve"> </v>
          </cell>
          <cell r="J68" t="str">
            <v xml:space="preserve"> </v>
          </cell>
          <cell r="K68" t="str">
            <v xml:space="preserve"> </v>
          </cell>
        </row>
        <row r="69">
          <cell r="A69" t="str">
            <v>35450</v>
          </cell>
          <cell r="B69" t="str">
            <v>Hockenberry, Gerald L.</v>
          </cell>
          <cell r="C69" t="str">
            <v xml:space="preserve"> </v>
          </cell>
          <cell r="D69" t="str">
            <v xml:space="preserve"> </v>
          </cell>
          <cell r="E69" t="str">
            <v xml:space="preserve"> </v>
          </cell>
          <cell r="F69" t="str">
            <v xml:space="preserve"> </v>
          </cell>
          <cell r="G69" t="str">
            <v xml:space="preserve"> </v>
          </cell>
          <cell r="H69" t="str">
            <v xml:space="preserve"> </v>
          </cell>
          <cell r="I69" t="str">
            <v xml:space="preserve"> </v>
          </cell>
          <cell r="J69" t="str">
            <v xml:space="preserve"> </v>
          </cell>
          <cell r="K69" t="str">
            <v xml:space="preserve"> </v>
          </cell>
        </row>
        <row r="70">
          <cell r="B70" t="str">
            <v>Payroll Subtotal</v>
          </cell>
          <cell r="C70">
            <v>0</v>
          </cell>
          <cell r="D70">
            <v>12762.68</v>
          </cell>
          <cell r="E70">
            <v>0</v>
          </cell>
          <cell r="F70">
            <v>0</v>
          </cell>
          <cell r="G70">
            <v>0</v>
          </cell>
          <cell r="H70">
            <v>510.52</v>
          </cell>
          <cell r="I70">
            <v>949.32</v>
          </cell>
          <cell r="J70">
            <v>0</v>
          </cell>
          <cell r="K70">
            <v>16.78</v>
          </cell>
        </row>
        <row r="71">
          <cell r="B71" t="str">
            <v>Reversal</v>
          </cell>
          <cell r="C71">
            <v>0</v>
          </cell>
          <cell r="D71">
            <v>-3206.38</v>
          </cell>
          <cell r="E71">
            <v>0</v>
          </cell>
          <cell r="F71">
            <v>0</v>
          </cell>
          <cell r="G71">
            <v>0</v>
          </cell>
          <cell r="H71">
            <v>-128.26</v>
          </cell>
          <cell r="I71">
            <v>-286.19</v>
          </cell>
          <cell r="J71">
            <v>0</v>
          </cell>
          <cell r="K71">
            <v>-34.44</v>
          </cell>
        </row>
        <row r="72">
          <cell r="B72" t="str">
            <v>Accrual (5 days)</v>
          </cell>
          <cell r="C72">
            <v>0</v>
          </cell>
          <cell r="D72">
            <v>3190.67</v>
          </cell>
          <cell r="E72">
            <v>0</v>
          </cell>
          <cell r="F72">
            <v>0</v>
          </cell>
          <cell r="G72">
            <v>0</v>
          </cell>
          <cell r="H72">
            <v>127.63</v>
          </cell>
          <cell r="I72">
            <v>237.33</v>
          </cell>
          <cell r="J72">
            <v>0</v>
          </cell>
          <cell r="K72">
            <v>4.1950000000000003</v>
          </cell>
        </row>
        <row r="73">
          <cell r="B73" t="str">
            <v>Adjustment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B74" t="str">
            <v>Payroll Total</v>
          </cell>
          <cell r="C74">
            <v>0</v>
          </cell>
          <cell r="D74">
            <v>12746.97</v>
          </cell>
          <cell r="E74">
            <v>0</v>
          </cell>
          <cell r="F74">
            <v>0</v>
          </cell>
          <cell r="G74">
            <v>0</v>
          </cell>
          <cell r="H74">
            <v>509.89</v>
          </cell>
          <cell r="I74">
            <v>900.46</v>
          </cell>
          <cell r="J74">
            <v>0</v>
          </cell>
          <cell r="K74">
            <v>-13.465</v>
          </cell>
        </row>
        <row r="76">
          <cell r="A76" t="str">
            <v>35590</v>
          </cell>
          <cell r="B76" t="str">
            <v>Evans, Patrick L.</v>
          </cell>
          <cell r="C76" t="str">
            <v xml:space="preserve"> </v>
          </cell>
          <cell r="D76" t="str">
            <v xml:space="preserve"> </v>
          </cell>
          <cell r="E76" t="str">
            <v xml:space="preserve"> </v>
          </cell>
          <cell r="F76" t="str">
            <v xml:space="preserve"> </v>
          </cell>
          <cell r="G76" t="str">
            <v xml:space="preserve"> </v>
          </cell>
          <cell r="H76" t="str">
            <v xml:space="preserve"> </v>
          </cell>
          <cell r="I76" t="str">
            <v xml:space="preserve"> </v>
          </cell>
          <cell r="J76" t="str">
            <v xml:space="preserve"> </v>
          </cell>
          <cell r="K76" t="str">
            <v xml:space="preserve"> </v>
          </cell>
        </row>
        <row r="77">
          <cell r="B77" t="str">
            <v>Payroll Subtotal</v>
          </cell>
          <cell r="C77">
            <v>0</v>
          </cell>
          <cell r="D77">
            <v>2080</v>
          </cell>
          <cell r="E77">
            <v>0</v>
          </cell>
          <cell r="F77">
            <v>2632.5</v>
          </cell>
          <cell r="G77">
            <v>0</v>
          </cell>
          <cell r="H77">
            <v>191.2</v>
          </cell>
          <cell r="I77">
            <v>356.78</v>
          </cell>
          <cell r="J77">
            <v>0</v>
          </cell>
          <cell r="K77">
            <v>0</v>
          </cell>
        </row>
        <row r="78">
          <cell r="B78" t="str">
            <v>Reversal</v>
          </cell>
          <cell r="C78">
            <v>0</v>
          </cell>
          <cell r="D78">
            <v>-936</v>
          </cell>
          <cell r="E78">
            <v>0</v>
          </cell>
          <cell r="F78">
            <v>-647.89</v>
          </cell>
          <cell r="G78">
            <v>0</v>
          </cell>
          <cell r="H78">
            <v>-63.76</v>
          </cell>
          <cell r="I78">
            <v>-117.94</v>
          </cell>
          <cell r="J78">
            <v>-12.18</v>
          </cell>
          <cell r="K78">
            <v>-41.11</v>
          </cell>
        </row>
        <row r="79">
          <cell r="B79" t="str">
            <v>Accrual (10 days)</v>
          </cell>
          <cell r="C79">
            <v>0</v>
          </cell>
          <cell r="D79">
            <v>1040</v>
          </cell>
          <cell r="E79">
            <v>0</v>
          </cell>
          <cell r="F79">
            <v>1316.25</v>
          </cell>
          <cell r="G79">
            <v>0</v>
          </cell>
          <cell r="H79">
            <v>95.6</v>
          </cell>
          <cell r="I79">
            <v>178.39</v>
          </cell>
          <cell r="J79">
            <v>0</v>
          </cell>
          <cell r="K79">
            <v>0</v>
          </cell>
        </row>
        <row r="80">
          <cell r="B80" t="str">
            <v>Adjustment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B81" t="str">
            <v>Payroll Total</v>
          </cell>
          <cell r="C81">
            <v>0</v>
          </cell>
          <cell r="D81">
            <v>2184</v>
          </cell>
          <cell r="E81">
            <v>0</v>
          </cell>
          <cell r="F81">
            <v>3300.86</v>
          </cell>
          <cell r="G81">
            <v>0</v>
          </cell>
          <cell r="H81">
            <v>223.04</v>
          </cell>
          <cell r="I81">
            <v>417.23</v>
          </cell>
          <cell r="J81">
            <v>-12.18</v>
          </cell>
          <cell r="K81">
            <v>-41.11</v>
          </cell>
        </row>
        <row r="83">
          <cell r="A83" t="str">
            <v>35800</v>
          </cell>
          <cell r="B83" t="str">
            <v>Bridgeman, Darwin E.</v>
          </cell>
          <cell r="C83" t="str">
            <v xml:space="preserve"> </v>
          </cell>
          <cell r="D83" t="str">
            <v xml:space="preserve"> </v>
          </cell>
          <cell r="E83" t="str">
            <v xml:space="preserve"> </v>
          </cell>
          <cell r="F83" t="str">
            <v xml:space="preserve"> </v>
          </cell>
          <cell r="G83" t="str">
            <v xml:space="preserve"> </v>
          </cell>
          <cell r="H83" t="str">
            <v xml:space="preserve"> </v>
          </cell>
          <cell r="I83" t="str">
            <v xml:space="preserve"> </v>
          </cell>
          <cell r="J83" t="str">
            <v xml:space="preserve"> </v>
          </cell>
          <cell r="K83" t="str">
            <v xml:space="preserve"> </v>
          </cell>
        </row>
        <row r="84">
          <cell r="A84" t="str">
            <v>35800</v>
          </cell>
          <cell r="B84" t="str">
            <v>Harris, Andre' L.</v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  <cell r="F84" t="str">
            <v xml:space="preserve"> </v>
          </cell>
          <cell r="G84" t="str">
            <v xml:space="preserve"> </v>
          </cell>
          <cell r="H84" t="str">
            <v xml:space="preserve"> </v>
          </cell>
          <cell r="I84" t="str">
            <v xml:space="preserve"> </v>
          </cell>
          <cell r="J84" t="str">
            <v xml:space="preserve"> </v>
          </cell>
          <cell r="K84" t="str">
            <v xml:space="preserve"> </v>
          </cell>
        </row>
        <row r="85">
          <cell r="A85" t="str">
            <v>35800</v>
          </cell>
          <cell r="B85" t="str">
            <v>McLaurin, Shawn E.</v>
          </cell>
          <cell r="C85" t="str">
            <v xml:space="preserve"> </v>
          </cell>
          <cell r="D85" t="str">
            <v xml:space="preserve"> </v>
          </cell>
          <cell r="E85" t="str">
            <v xml:space="preserve"> </v>
          </cell>
          <cell r="F85" t="str">
            <v xml:space="preserve"> </v>
          </cell>
          <cell r="G85" t="str">
            <v xml:space="preserve"> </v>
          </cell>
          <cell r="H85" t="str">
            <v xml:space="preserve"> </v>
          </cell>
          <cell r="I85" t="str">
            <v xml:space="preserve"> </v>
          </cell>
          <cell r="J85" t="str">
            <v xml:space="preserve"> </v>
          </cell>
          <cell r="K85" t="str">
            <v xml:space="preserve"> </v>
          </cell>
        </row>
        <row r="86">
          <cell r="A86" t="str">
            <v>35800</v>
          </cell>
          <cell r="B86" t="str">
            <v>Peel, Daryl C.</v>
          </cell>
          <cell r="C86" t="str">
            <v xml:space="preserve"> </v>
          </cell>
          <cell r="D86" t="str">
            <v xml:space="preserve"> </v>
          </cell>
          <cell r="E86" t="str">
            <v xml:space="preserve"> </v>
          </cell>
          <cell r="F86" t="str">
            <v xml:space="preserve"> </v>
          </cell>
          <cell r="G86" t="str">
            <v xml:space="preserve"> </v>
          </cell>
          <cell r="H86" t="str">
            <v xml:space="preserve"> </v>
          </cell>
          <cell r="I86" t="str">
            <v xml:space="preserve"> </v>
          </cell>
          <cell r="J86" t="str">
            <v xml:space="preserve"> </v>
          </cell>
          <cell r="K86" t="str">
            <v xml:space="preserve"> </v>
          </cell>
        </row>
        <row r="87">
          <cell r="A87" t="str">
            <v>35800</v>
          </cell>
          <cell r="B87" t="str">
            <v>Thompson, Elond M.</v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  <cell r="F87" t="str">
            <v xml:space="preserve"> </v>
          </cell>
          <cell r="G87" t="str">
            <v xml:space="preserve"> </v>
          </cell>
          <cell r="H87" t="str">
            <v xml:space="preserve"> </v>
          </cell>
          <cell r="I87" t="str">
            <v xml:space="preserve"> </v>
          </cell>
          <cell r="J87" t="str">
            <v xml:space="preserve"> </v>
          </cell>
          <cell r="K87" t="str">
            <v xml:space="preserve"> </v>
          </cell>
        </row>
        <row r="88">
          <cell r="A88" t="str">
            <v>35800</v>
          </cell>
          <cell r="B88" t="str">
            <v>Travis, Timothy L.</v>
          </cell>
          <cell r="C88" t="str">
            <v xml:space="preserve"> </v>
          </cell>
          <cell r="D88" t="str">
            <v xml:space="preserve"> </v>
          </cell>
          <cell r="E88" t="str">
            <v xml:space="preserve"> </v>
          </cell>
          <cell r="F88" t="str">
            <v xml:space="preserve"> </v>
          </cell>
          <cell r="G88" t="str">
            <v xml:space="preserve"> </v>
          </cell>
          <cell r="H88" t="str">
            <v xml:space="preserve"> </v>
          </cell>
          <cell r="I88" t="str">
            <v xml:space="preserve"> </v>
          </cell>
          <cell r="J88" t="str">
            <v xml:space="preserve"> </v>
          </cell>
          <cell r="K88" t="str">
            <v xml:space="preserve"> </v>
          </cell>
        </row>
        <row r="89">
          <cell r="A89">
            <v>35800</v>
          </cell>
          <cell r="B89" t="str">
            <v>Hoffman, Wade H.-25%</v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  <cell r="F89" t="str">
            <v xml:space="preserve"> </v>
          </cell>
          <cell r="G89" t="str">
            <v xml:space="preserve"> </v>
          </cell>
          <cell r="H89" t="str">
            <v xml:space="preserve"> </v>
          </cell>
          <cell r="I89" t="str">
            <v xml:space="preserve"> </v>
          </cell>
          <cell r="J89" t="str">
            <v xml:space="preserve"> </v>
          </cell>
          <cell r="K89" t="str">
            <v xml:space="preserve"> </v>
          </cell>
        </row>
        <row r="90">
          <cell r="B90" t="str">
            <v>Payroll Subtotal</v>
          </cell>
          <cell r="C90">
            <v>0</v>
          </cell>
          <cell r="D90">
            <v>11144.46</v>
          </cell>
          <cell r="E90">
            <v>0</v>
          </cell>
          <cell r="F90">
            <v>8442.25</v>
          </cell>
          <cell r="G90">
            <v>0</v>
          </cell>
          <cell r="H90">
            <v>455.435</v>
          </cell>
          <cell r="I90">
            <v>1471.66</v>
          </cell>
          <cell r="J90">
            <v>91.52</v>
          </cell>
          <cell r="K90">
            <v>308.86</v>
          </cell>
        </row>
        <row r="91">
          <cell r="B91" t="str">
            <v>Reversal</v>
          </cell>
          <cell r="C91">
            <v>0</v>
          </cell>
          <cell r="D91">
            <v>-307.69</v>
          </cell>
          <cell r="E91">
            <v>0</v>
          </cell>
          <cell r="F91">
            <v>0</v>
          </cell>
          <cell r="G91">
            <v>0</v>
          </cell>
          <cell r="H91">
            <v>-9.23</v>
          </cell>
          <cell r="I91">
            <v>-33.08</v>
          </cell>
          <cell r="J91">
            <v>-1.03</v>
          </cell>
          <cell r="K91">
            <v>-3.47</v>
          </cell>
        </row>
        <row r="92">
          <cell r="B92" t="str">
            <v>Accrual (10 days)</v>
          </cell>
          <cell r="C92">
            <v>0</v>
          </cell>
          <cell r="D92">
            <v>5572.23</v>
          </cell>
          <cell r="E92">
            <v>0</v>
          </cell>
          <cell r="F92">
            <v>4221.125</v>
          </cell>
          <cell r="G92">
            <v>0</v>
          </cell>
          <cell r="H92">
            <v>227.7175</v>
          </cell>
          <cell r="I92">
            <v>735.83</v>
          </cell>
          <cell r="J92">
            <v>45.76</v>
          </cell>
          <cell r="K92">
            <v>154.43</v>
          </cell>
        </row>
        <row r="93">
          <cell r="B93" t="str">
            <v>Adjustment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B94" t="str">
            <v>Payroll Total</v>
          </cell>
          <cell r="C94">
            <v>0</v>
          </cell>
          <cell r="D94">
            <v>16409</v>
          </cell>
          <cell r="E94">
            <v>0</v>
          </cell>
          <cell r="F94">
            <v>12663.375</v>
          </cell>
          <cell r="G94">
            <v>0</v>
          </cell>
          <cell r="H94">
            <v>673.92250000000001</v>
          </cell>
          <cell r="I94">
            <v>2174.41</v>
          </cell>
          <cell r="J94">
            <v>136.25</v>
          </cell>
          <cell r="K94">
            <v>459.82</v>
          </cell>
        </row>
        <row r="96">
          <cell r="A96" t="str">
            <v>35810</v>
          </cell>
          <cell r="B96" t="str">
            <v>Dixon, Thomas</v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  <cell r="F96" t="str">
            <v xml:space="preserve"> </v>
          </cell>
          <cell r="G96" t="str">
            <v xml:space="preserve"> </v>
          </cell>
          <cell r="H96" t="str">
            <v xml:space="preserve"> </v>
          </cell>
          <cell r="I96" t="str">
            <v xml:space="preserve"> </v>
          </cell>
          <cell r="J96" t="str">
            <v xml:space="preserve"> </v>
          </cell>
          <cell r="K96" t="str">
            <v xml:space="preserve"> </v>
          </cell>
        </row>
        <row r="97">
          <cell r="A97" t="str">
            <v>35810</v>
          </cell>
          <cell r="B97" t="str">
            <v>McDaniel, Richard F.</v>
          </cell>
          <cell r="C97" t="str">
            <v xml:space="preserve"> </v>
          </cell>
          <cell r="D97" t="str">
            <v xml:space="preserve"> </v>
          </cell>
          <cell r="E97" t="str">
            <v xml:space="preserve"> </v>
          </cell>
          <cell r="F97" t="str">
            <v xml:space="preserve"> </v>
          </cell>
          <cell r="G97" t="str">
            <v xml:space="preserve"> </v>
          </cell>
          <cell r="H97" t="str">
            <v xml:space="preserve"> </v>
          </cell>
          <cell r="I97" t="str">
            <v xml:space="preserve"> </v>
          </cell>
          <cell r="J97" t="str">
            <v xml:space="preserve"> </v>
          </cell>
          <cell r="K97" t="str">
            <v xml:space="preserve"> </v>
          </cell>
        </row>
        <row r="98">
          <cell r="A98" t="str">
            <v>35810</v>
          </cell>
          <cell r="B98" t="str">
            <v>Mendoza, Gilbert</v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  <cell r="F98" t="str">
            <v xml:space="preserve"> </v>
          </cell>
          <cell r="G98" t="str">
            <v xml:space="preserve"> </v>
          </cell>
          <cell r="H98" t="str">
            <v xml:space="preserve"> </v>
          </cell>
          <cell r="I98" t="str">
            <v xml:space="preserve"> </v>
          </cell>
          <cell r="J98" t="str">
            <v xml:space="preserve"> </v>
          </cell>
          <cell r="K98" t="str">
            <v xml:space="preserve"> </v>
          </cell>
        </row>
        <row r="99">
          <cell r="B99" t="str">
            <v>Payroll Subtotal</v>
          </cell>
          <cell r="C99">
            <v>0</v>
          </cell>
          <cell r="D99">
            <v>9065.5499999999993</v>
          </cell>
          <cell r="E99">
            <v>0</v>
          </cell>
          <cell r="F99">
            <v>1033.5</v>
          </cell>
          <cell r="G99">
            <v>0</v>
          </cell>
          <cell r="H99">
            <v>167.41</v>
          </cell>
          <cell r="I99">
            <v>828.38</v>
          </cell>
          <cell r="J99">
            <v>27.69</v>
          </cell>
          <cell r="K99">
            <v>93.47</v>
          </cell>
        </row>
        <row r="100">
          <cell r="B100" t="str">
            <v>Reversal</v>
          </cell>
          <cell r="C100">
            <v>0</v>
          </cell>
          <cell r="D100">
            <v>-3573.56</v>
          </cell>
          <cell r="E100">
            <v>0</v>
          </cell>
          <cell r="F100">
            <v>-604.13</v>
          </cell>
          <cell r="G100">
            <v>0</v>
          </cell>
          <cell r="H100">
            <v>-65.13</v>
          </cell>
          <cell r="I100">
            <v>-525.59</v>
          </cell>
          <cell r="J100">
            <v>-3.06</v>
          </cell>
          <cell r="K100">
            <v>-10.34</v>
          </cell>
        </row>
        <row r="101">
          <cell r="B101" t="str">
            <v>Accrual (10 days)</v>
          </cell>
          <cell r="C101">
            <v>0</v>
          </cell>
          <cell r="D101">
            <v>4532.7749999999996</v>
          </cell>
          <cell r="E101">
            <v>0</v>
          </cell>
          <cell r="F101">
            <v>516.75</v>
          </cell>
          <cell r="G101">
            <v>0</v>
          </cell>
          <cell r="H101">
            <v>83.704999999999998</v>
          </cell>
          <cell r="I101">
            <v>414.19</v>
          </cell>
          <cell r="J101">
            <v>13.845000000000001</v>
          </cell>
          <cell r="K101">
            <v>46.734999999999999</v>
          </cell>
        </row>
        <row r="102">
          <cell r="B102" t="str">
            <v>Adjustment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B103" t="str">
            <v>Payroll Total</v>
          </cell>
          <cell r="C103">
            <v>0</v>
          </cell>
          <cell r="D103">
            <v>10024.764999999999</v>
          </cell>
          <cell r="E103">
            <v>0</v>
          </cell>
          <cell r="F103">
            <v>946.12</v>
          </cell>
          <cell r="G103">
            <v>0</v>
          </cell>
          <cell r="H103">
            <v>185.98500000000001</v>
          </cell>
          <cell r="I103">
            <v>716.98</v>
          </cell>
          <cell r="J103">
            <v>38.475000000000001</v>
          </cell>
          <cell r="K103">
            <v>129.86500000000001</v>
          </cell>
        </row>
        <row r="105">
          <cell r="A105" t="str">
            <v>35900</v>
          </cell>
          <cell r="B105" t="str">
            <v>Durr, Shannon</v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  <cell r="F105" t="str">
            <v xml:space="preserve"> </v>
          </cell>
          <cell r="G105" t="str">
            <v xml:space="preserve"> </v>
          </cell>
          <cell r="H105" t="str">
            <v xml:space="preserve"> </v>
          </cell>
          <cell r="I105" t="str">
            <v xml:space="preserve"> </v>
          </cell>
          <cell r="J105" t="str">
            <v xml:space="preserve"> </v>
          </cell>
          <cell r="K105" t="str">
            <v xml:space="preserve"> </v>
          </cell>
        </row>
        <row r="106">
          <cell r="A106" t="str">
            <v>35900</v>
          </cell>
          <cell r="B106" t="str">
            <v>Gower, Derek D.</v>
          </cell>
          <cell r="C106" t="str">
            <v xml:space="preserve"> </v>
          </cell>
          <cell r="D106" t="str">
            <v xml:space="preserve"> </v>
          </cell>
          <cell r="E106" t="str">
            <v xml:space="preserve"> </v>
          </cell>
          <cell r="F106" t="str">
            <v xml:space="preserve"> </v>
          </cell>
          <cell r="G106" t="str">
            <v xml:space="preserve"> </v>
          </cell>
          <cell r="H106" t="str">
            <v xml:space="preserve"> </v>
          </cell>
          <cell r="I106" t="str">
            <v xml:space="preserve"> </v>
          </cell>
          <cell r="J106" t="str">
            <v xml:space="preserve"> </v>
          </cell>
          <cell r="K106" t="str">
            <v xml:space="preserve"> </v>
          </cell>
        </row>
        <row r="107">
          <cell r="A107" t="str">
            <v>35900</v>
          </cell>
          <cell r="B107" t="str">
            <v>Hensley, Todd C.</v>
          </cell>
          <cell r="C107" t="str">
            <v xml:space="preserve"> </v>
          </cell>
          <cell r="D107" t="str">
            <v xml:space="preserve"> </v>
          </cell>
          <cell r="E107" t="str">
            <v xml:space="preserve"> </v>
          </cell>
          <cell r="F107" t="str">
            <v xml:space="preserve"> </v>
          </cell>
          <cell r="G107" t="str">
            <v xml:space="preserve"> </v>
          </cell>
          <cell r="H107" t="str">
            <v xml:space="preserve"> </v>
          </cell>
          <cell r="I107" t="str">
            <v xml:space="preserve"> </v>
          </cell>
          <cell r="J107" t="str">
            <v xml:space="preserve"> </v>
          </cell>
          <cell r="K107" t="str">
            <v xml:space="preserve"> </v>
          </cell>
        </row>
        <row r="108">
          <cell r="A108" t="str">
            <v>35900</v>
          </cell>
          <cell r="B108" t="str">
            <v>Washington, Eddie W.</v>
          </cell>
          <cell r="C108" t="str">
            <v xml:space="preserve"> </v>
          </cell>
          <cell r="D108" t="str">
            <v xml:space="preserve"> </v>
          </cell>
          <cell r="E108" t="str">
            <v xml:space="preserve"> </v>
          </cell>
          <cell r="F108" t="str">
            <v xml:space="preserve"> </v>
          </cell>
          <cell r="G108" t="str">
            <v xml:space="preserve"> </v>
          </cell>
          <cell r="H108" t="str">
            <v xml:space="preserve"> </v>
          </cell>
          <cell r="I108" t="str">
            <v xml:space="preserve"> </v>
          </cell>
          <cell r="J108" t="str">
            <v xml:space="preserve"> </v>
          </cell>
          <cell r="K108" t="str">
            <v xml:space="preserve"> 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ject Review Form"/>
      <sheetName val="OPEN ISS"/>
      <sheetName val="Pd2-Summary"/>
      <sheetName val="Anual Detail"/>
      <sheetName val="Quote vs PD2"/>
      <sheetName val="Sales Prices"/>
      <sheetName val="S-P Options"/>
      <sheetName val="JC-Toolcost"/>
      <sheetName val="TARGETS"/>
      <sheetName val="LTD"/>
      <sheetName val="COMM ISS"/>
      <sheetName val="SDT-RISK"/>
    </sheetNames>
    <sheetDataSet>
      <sheetData sheetId="0"/>
      <sheetData sheetId="1"/>
      <sheetData sheetId="2"/>
      <sheetData sheetId="3"/>
      <sheetData sheetId="4">
        <row r="1">
          <cell r="AR1" t="str">
            <v xml:space="preserve"> </v>
          </cell>
        </row>
        <row r="6">
          <cell r="E6" t="str">
            <v>Headcount FY98</v>
          </cell>
          <cell r="R6" t="str">
            <v>Headcount FY99</v>
          </cell>
          <cell r="AE6" t="str">
            <v>Headcount FY00</v>
          </cell>
          <cell r="AR6" t="str">
            <v>Headcount FY01</v>
          </cell>
          <cell r="BE6" t="str">
            <v>Headcount FY02</v>
          </cell>
          <cell r="BR6" t="str">
            <v>Headcount FY03</v>
          </cell>
          <cell r="CE6" t="str">
            <v>Headcount FY04</v>
          </cell>
        </row>
        <row r="7">
          <cell r="E7" t="str">
            <v>Sept-97</v>
          </cell>
          <cell r="F7" t="str">
            <v>Oct-97</v>
          </cell>
          <cell r="G7">
            <v>35735</v>
          </cell>
          <cell r="H7" t="str">
            <v>Dec-97</v>
          </cell>
          <cell r="I7">
            <v>35796</v>
          </cell>
          <cell r="J7" t="str">
            <v>Febr-98</v>
          </cell>
          <cell r="K7">
            <v>35855</v>
          </cell>
          <cell r="L7">
            <v>35886</v>
          </cell>
          <cell r="M7">
            <v>35916</v>
          </cell>
          <cell r="N7">
            <v>35947</v>
          </cell>
          <cell r="O7">
            <v>35977</v>
          </cell>
          <cell r="P7">
            <v>36008</v>
          </cell>
          <cell r="Q7" t="str">
            <v>TOTAL FY98</v>
          </cell>
          <cell r="R7">
            <v>36039</v>
          </cell>
          <cell r="S7">
            <v>36069</v>
          </cell>
          <cell r="T7">
            <v>36100</v>
          </cell>
          <cell r="U7">
            <v>36130</v>
          </cell>
          <cell r="V7">
            <v>36161</v>
          </cell>
          <cell r="W7">
            <v>36192</v>
          </cell>
          <cell r="X7">
            <v>36220</v>
          </cell>
          <cell r="Y7">
            <v>36251</v>
          </cell>
          <cell r="Z7">
            <v>36281</v>
          </cell>
          <cell r="AA7">
            <v>36312</v>
          </cell>
          <cell r="AB7">
            <v>36342</v>
          </cell>
          <cell r="AC7">
            <v>36373</v>
          </cell>
          <cell r="AD7" t="str">
            <v>TOTAL FY99</v>
          </cell>
          <cell r="AE7">
            <v>36404</v>
          </cell>
          <cell r="AF7">
            <v>36434</v>
          </cell>
          <cell r="AG7">
            <v>36465</v>
          </cell>
          <cell r="AH7">
            <v>36495</v>
          </cell>
          <cell r="AI7">
            <v>36526</v>
          </cell>
          <cell r="AJ7">
            <v>36557</v>
          </cell>
          <cell r="AK7">
            <v>36586</v>
          </cell>
          <cell r="AL7">
            <v>36617</v>
          </cell>
          <cell r="AM7">
            <v>36647</v>
          </cell>
          <cell r="AN7">
            <v>36678</v>
          </cell>
          <cell r="AO7">
            <v>36708</v>
          </cell>
          <cell r="AP7">
            <v>36739</v>
          </cell>
          <cell r="AQ7" t="str">
            <v>TOTAL FY00</v>
          </cell>
          <cell r="AR7">
            <v>36770</v>
          </cell>
          <cell r="AS7">
            <v>36800</v>
          </cell>
          <cell r="AT7">
            <v>36831</v>
          </cell>
          <cell r="AU7">
            <v>36861</v>
          </cell>
          <cell r="AV7">
            <v>36892</v>
          </cell>
          <cell r="AW7">
            <v>36923</v>
          </cell>
          <cell r="AX7">
            <v>36951</v>
          </cell>
          <cell r="AY7">
            <v>36982</v>
          </cell>
          <cell r="AZ7">
            <v>37012</v>
          </cell>
          <cell r="BA7">
            <v>37043</v>
          </cell>
          <cell r="BB7">
            <v>37073</v>
          </cell>
          <cell r="BC7">
            <v>37104</v>
          </cell>
          <cell r="BD7" t="str">
            <v>TOTAL FY01</v>
          </cell>
          <cell r="BE7">
            <v>37135</v>
          </cell>
          <cell r="BF7">
            <v>37165</v>
          </cell>
          <cell r="BG7">
            <v>37196</v>
          </cell>
          <cell r="BH7">
            <v>37226</v>
          </cell>
          <cell r="BI7">
            <v>37257</v>
          </cell>
          <cell r="BJ7">
            <v>37288</v>
          </cell>
          <cell r="BK7">
            <v>37316</v>
          </cell>
          <cell r="BL7">
            <v>37347</v>
          </cell>
          <cell r="BM7">
            <v>37377</v>
          </cell>
          <cell r="BN7">
            <v>37408</v>
          </cell>
          <cell r="BO7">
            <v>37438</v>
          </cell>
          <cell r="BP7">
            <v>37469</v>
          </cell>
          <cell r="BQ7" t="str">
            <v>TOTAL FY02</v>
          </cell>
          <cell r="BR7">
            <v>37500</v>
          </cell>
          <cell r="BS7">
            <v>37530</v>
          </cell>
          <cell r="BT7">
            <v>37561</v>
          </cell>
          <cell r="BU7">
            <v>37591</v>
          </cell>
          <cell r="BV7">
            <v>37622</v>
          </cell>
          <cell r="BW7">
            <v>37653</v>
          </cell>
          <cell r="BX7">
            <v>37681</v>
          </cell>
          <cell r="BY7">
            <v>37712</v>
          </cell>
          <cell r="BZ7">
            <v>37742</v>
          </cell>
          <cell r="CA7">
            <v>37773</v>
          </cell>
          <cell r="CB7">
            <v>37803</v>
          </cell>
          <cell r="CC7">
            <v>37834</v>
          </cell>
          <cell r="CD7" t="str">
            <v>TOTAL FY03</v>
          </cell>
          <cell r="CE7">
            <v>37865</v>
          </cell>
          <cell r="CF7">
            <v>37895</v>
          </cell>
          <cell r="CG7">
            <v>37926</v>
          </cell>
          <cell r="CH7">
            <v>37956</v>
          </cell>
          <cell r="CI7">
            <v>37987</v>
          </cell>
          <cell r="CJ7">
            <v>38018</v>
          </cell>
          <cell r="CK7">
            <v>38047</v>
          </cell>
          <cell r="CL7">
            <v>38078</v>
          </cell>
          <cell r="CM7">
            <v>38108</v>
          </cell>
          <cell r="CN7">
            <v>38139</v>
          </cell>
          <cell r="CO7">
            <v>38169</v>
          </cell>
          <cell r="CP7">
            <v>38200</v>
          </cell>
          <cell r="CQ7" t="str">
            <v>TOTAL FY04</v>
          </cell>
        </row>
        <row r="9"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1.5</v>
          </cell>
          <cell r="AJ9">
            <v>1.5</v>
          </cell>
          <cell r="AK9">
            <v>1.5</v>
          </cell>
          <cell r="AL9">
            <v>1.5</v>
          </cell>
          <cell r="AM9">
            <v>1.5</v>
          </cell>
          <cell r="AN9">
            <v>1.5</v>
          </cell>
          <cell r="AO9">
            <v>1.5</v>
          </cell>
          <cell r="AP9">
            <v>1.5</v>
          </cell>
          <cell r="AQ9">
            <v>1</v>
          </cell>
          <cell r="AR9">
            <v>1.5</v>
          </cell>
          <cell r="AS9">
            <v>1.5</v>
          </cell>
          <cell r="AT9">
            <v>1.5</v>
          </cell>
          <cell r="AU9">
            <v>1.5</v>
          </cell>
          <cell r="AV9">
            <v>1.5</v>
          </cell>
          <cell r="AW9">
            <v>1.5</v>
          </cell>
          <cell r="AX9">
            <v>1.5</v>
          </cell>
          <cell r="AY9">
            <v>1.5</v>
          </cell>
          <cell r="AZ9">
            <v>1.5</v>
          </cell>
          <cell r="BA9">
            <v>1.5</v>
          </cell>
          <cell r="BB9">
            <v>1.5</v>
          </cell>
          <cell r="BC9">
            <v>1.5</v>
          </cell>
          <cell r="BD9">
            <v>1.5</v>
          </cell>
          <cell r="BE9">
            <v>1.5</v>
          </cell>
          <cell r="BF9">
            <v>1.5</v>
          </cell>
          <cell r="BG9">
            <v>1.5</v>
          </cell>
          <cell r="BH9">
            <v>1.5</v>
          </cell>
          <cell r="BI9">
            <v>1.5</v>
          </cell>
          <cell r="BJ9">
            <v>1.5</v>
          </cell>
          <cell r="BK9">
            <v>1.5</v>
          </cell>
          <cell r="BL9">
            <v>1.5</v>
          </cell>
          <cell r="BM9">
            <v>1.5</v>
          </cell>
          <cell r="BN9">
            <v>1.5</v>
          </cell>
          <cell r="BO9">
            <v>1.5</v>
          </cell>
          <cell r="BP9">
            <v>1.5</v>
          </cell>
          <cell r="BQ9">
            <v>1.5</v>
          </cell>
          <cell r="BR9">
            <v>1</v>
          </cell>
          <cell r="BS9">
            <v>1</v>
          </cell>
          <cell r="BT9">
            <v>1</v>
          </cell>
          <cell r="BU9">
            <v>1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0.33333333333333331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2</v>
          </cell>
          <cell r="AJ10">
            <v>3</v>
          </cell>
          <cell r="AK10">
            <v>3</v>
          </cell>
          <cell r="AL10">
            <v>5</v>
          </cell>
          <cell r="AM10">
            <v>5</v>
          </cell>
          <cell r="AN10">
            <v>5</v>
          </cell>
          <cell r="AO10">
            <v>5</v>
          </cell>
          <cell r="AP10">
            <v>5</v>
          </cell>
          <cell r="AQ10">
            <v>2.75</v>
          </cell>
          <cell r="AR10">
            <v>5</v>
          </cell>
          <cell r="AS10">
            <v>5</v>
          </cell>
          <cell r="AT10">
            <v>5</v>
          </cell>
          <cell r="AU10">
            <v>5</v>
          </cell>
          <cell r="AV10">
            <v>5</v>
          </cell>
          <cell r="AW10">
            <v>5</v>
          </cell>
          <cell r="AX10">
            <v>5</v>
          </cell>
          <cell r="AY10">
            <v>5</v>
          </cell>
          <cell r="AZ10">
            <v>5</v>
          </cell>
          <cell r="BA10">
            <v>5</v>
          </cell>
          <cell r="BB10">
            <v>5</v>
          </cell>
          <cell r="BC10">
            <v>5</v>
          </cell>
          <cell r="BD10">
            <v>5</v>
          </cell>
          <cell r="BE10">
            <v>5</v>
          </cell>
          <cell r="BF10">
            <v>5</v>
          </cell>
          <cell r="BG10">
            <v>5</v>
          </cell>
          <cell r="BH10">
            <v>5</v>
          </cell>
          <cell r="BI10">
            <v>5</v>
          </cell>
          <cell r="BJ10">
            <v>5</v>
          </cell>
          <cell r="BK10">
            <v>5</v>
          </cell>
          <cell r="BL10">
            <v>5</v>
          </cell>
          <cell r="BM10">
            <v>5</v>
          </cell>
          <cell r="BN10">
            <v>5</v>
          </cell>
          <cell r="BO10">
            <v>5</v>
          </cell>
          <cell r="BP10">
            <v>5</v>
          </cell>
          <cell r="BQ10">
            <v>5</v>
          </cell>
          <cell r="BR10">
            <v>5</v>
          </cell>
          <cell r="BS10">
            <v>5</v>
          </cell>
          <cell r="BT10">
            <v>5</v>
          </cell>
          <cell r="BU10">
            <v>5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1.6666666666666667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0.5</v>
          </cell>
          <cell r="AJ11">
            <v>0.5</v>
          </cell>
          <cell r="AK11">
            <v>0.5</v>
          </cell>
          <cell r="AL11">
            <v>1</v>
          </cell>
          <cell r="AM11">
            <v>1</v>
          </cell>
          <cell r="AN11">
            <v>1</v>
          </cell>
          <cell r="AO11">
            <v>1</v>
          </cell>
          <cell r="AP11">
            <v>1</v>
          </cell>
          <cell r="AQ11">
            <v>0.54166666666666663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W11">
            <v>1</v>
          </cell>
          <cell r="AX11">
            <v>1</v>
          </cell>
          <cell r="AY11">
            <v>1</v>
          </cell>
          <cell r="AZ11">
            <v>1</v>
          </cell>
          <cell r="BA11">
            <v>1</v>
          </cell>
          <cell r="BB11">
            <v>1</v>
          </cell>
          <cell r="BC11">
            <v>1</v>
          </cell>
          <cell r="BD11">
            <v>1</v>
          </cell>
          <cell r="BE11">
            <v>1</v>
          </cell>
          <cell r="BF11">
            <v>1</v>
          </cell>
          <cell r="BG11">
            <v>1</v>
          </cell>
          <cell r="BH11">
            <v>1</v>
          </cell>
          <cell r="BI11">
            <v>1</v>
          </cell>
          <cell r="BJ11">
            <v>1</v>
          </cell>
          <cell r="BK11">
            <v>1</v>
          </cell>
          <cell r="BL11">
            <v>1</v>
          </cell>
          <cell r="BM11">
            <v>1</v>
          </cell>
          <cell r="BN11">
            <v>1</v>
          </cell>
          <cell r="BO11">
            <v>1</v>
          </cell>
          <cell r="BP11">
            <v>1</v>
          </cell>
          <cell r="BQ11">
            <v>1</v>
          </cell>
          <cell r="BR11">
            <v>0.5</v>
          </cell>
          <cell r="BS11">
            <v>0.5</v>
          </cell>
          <cell r="BT11">
            <v>0.5</v>
          </cell>
          <cell r="BU11">
            <v>0.5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0.16666666666666666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0.5</v>
          </cell>
          <cell r="AJ12">
            <v>0.5</v>
          </cell>
          <cell r="AK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1</v>
          </cell>
          <cell r="AP12">
            <v>1</v>
          </cell>
          <cell r="AQ12">
            <v>0.58333333333333337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W12">
            <v>1</v>
          </cell>
          <cell r="AX12">
            <v>1</v>
          </cell>
          <cell r="AY12">
            <v>1</v>
          </cell>
          <cell r="AZ12">
            <v>1</v>
          </cell>
          <cell r="BA12">
            <v>1</v>
          </cell>
          <cell r="BB12">
            <v>1</v>
          </cell>
          <cell r="BC12">
            <v>1</v>
          </cell>
          <cell r="BD12">
            <v>1</v>
          </cell>
          <cell r="BE12">
            <v>0.5</v>
          </cell>
          <cell r="BF12">
            <v>0.5</v>
          </cell>
          <cell r="BG12">
            <v>0.5</v>
          </cell>
          <cell r="BH12">
            <v>0.5</v>
          </cell>
          <cell r="BI12">
            <v>0.5</v>
          </cell>
          <cell r="BJ12">
            <v>0.5</v>
          </cell>
          <cell r="BK12">
            <v>0.5</v>
          </cell>
          <cell r="BL12">
            <v>0.5</v>
          </cell>
          <cell r="BM12">
            <v>0.5</v>
          </cell>
          <cell r="BN12">
            <v>0.5</v>
          </cell>
          <cell r="BO12">
            <v>0.5</v>
          </cell>
          <cell r="BP12">
            <v>0.5</v>
          </cell>
          <cell r="BQ12">
            <v>0.5</v>
          </cell>
          <cell r="BR12">
            <v>0.5</v>
          </cell>
          <cell r="BS12">
            <v>0.5</v>
          </cell>
          <cell r="BT12">
            <v>0.5</v>
          </cell>
          <cell r="BU12">
            <v>0.5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0.16666666666666666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0.5</v>
          </cell>
          <cell r="AJ13">
            <v>0.5</v>
          </cell>
          <cell r="AK13">
            <v>1.5</v>
          </cell>
          <cell r="AL13">
            <v>1.5</v>
          </cell>
          <cell r="AM13">
            <v>1.5</v>
          </cell>
          <cell r="AN13">
            <v>1.5</v>
          </cell>
          <cell r="AO13">
            <v>1.5</v>
          </cell>
          <cell r="AP13">
            <v>1.5</v>
          </cell>
          <cell r="AQ13">
            <v>0.83333333333333337</v>
          </cell>
          <cell r="AR13">
            <v>1.5</v>
          </cell>
          <cell r="AS13">
            <v>1.5</v>
          </cell>
          <cell r="AT13">
            <v>1.5</v>
          </cell>
          <cell r="AU13">
            <v>1.5</v>
          </cell>
          <cell r="AV13">
            <v>2</v>
          </cell>
          <cell r="AW13">
            <v>2</v>
          </cell>
          <cell r="AX13">
            <v>2</v>
          </cell>
          <cell r="AY13">
            <v>2</v>
          </cell>
          <cell r="AZ13">
            <v>2</v>
          </cell>
          <cell r="BA13">
            <v>2</v>
          </cell>
          <cell r="BB13">
            <v>2</v>
          </cell>
          <cell r="BC13">
            <v>2</v>
          </cell>
          <cell r="BD13">
            <v>1.8333333333333333</v>
          </cell>
          <cell r="BE13">
            <v>2</v>
          </cell>
          <cell r="BF13">
            <v>2</v>
          </cell>
          <cell r="BG13">
            <v>2</v>
          </cell>
          <cell r="BH13">
            <v>2</v>
          </cell>
          <cell r="BI13">
            <v>2</v>
          </cell>
          <cell r="BJ13">
            <v>2</v>
          </cell>
          <cell r="BK13">
            <v>2</v>
          </cell>
          <cell r="BL13">
            <v>2</v>
          </cell>
          <cell r="BM13">
            <v>2</v>
          </cell>
          <cell r="BN13">
            <v>2</v>
          </cell>
          <cell r="BO13">
            <v>2</v>
          </cell>
          <cell r="BP13">
            <v>2</v>
          </cell>
          <cell r="BQ13">
            <v>2</v>
          </cell>
          <cell r="BR13">
            <v>1.5</v>
          </cell>
          <cell r="BS13">
            <v>1.5</v>
          </cell>
          <cell r="BT13">
            <v>1.5</v>
          </cell>
          <cell r="BU13">
            <v>1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0.45833333333333331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0.66666666666666663</v>
          </cell>
          <cell r="AR14">
            <v>1</v>
          </cell>
          <cell r="AS14">
            <v>1</v>
          </cell>
          <cell r="AT14">
            <v>1</v>
          </cell>
          <cell r="AU14">
            <v>1</v>
          </cell>
          <cell r="AV14">
            <v>1</v>
          </cell>
          <cell r="AW14">
            <v>1</v>
          </cell>
          <cell r="AX14">
            <v>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0.58333333333333337</v>
          </cell>
          <cell r="BE14">
            <v>1</v>
          </cell>
          <cell r="BF14">
            <v>1</v>
          </cell>
          <cell r="BG14">
            <v>1</v>
          </cell>
          <cell r="BH14">
            <v>1</v>
          </cell>
          <cell r="BI14">
            <v>1</v>
          </cell>
          <cell r="BJ14">
            <v>1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0.5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5</v>
          </cell>
          <cell r="AJ15">
            <v>6</v>
          </cell>
          <cell r="AK15">
            <v>8</v>
          </cell>
          <cell r="AL15">
            <v>10</v>
          </cell>
          <cell r="AM15">
            <v>10</v>
          </cell>
          <cell r="AN15">
            <v>10</v>
          </cell>
          <cell r="AO15">
            <v>10</v>
          </cell>
          <cell r="AP15">
            <v>10</v>
          </cell>
          <cell r="AQ15">
            <v>5.75</v>
          </cell>
          <cell r="AR15">
            <v>10</v>
          </cell>
          <cell r="AS15">
            <v>10</v>
          </cell>
          <cell r="AT15">
            <v>10</v>
          </cell>
          <cell r="AU15">
            <v>10</v>
          </cell>
          <cell r="AV15">
            <v>10</v>
          </cell>
          <cell r="AW15">
            <v>10</v>
          </cell>
          <cell r="AX15">
            <v>10</v>
          </cell>
          <cell r="AY15">
            <v>10</v>
          </cell>
          <cell r="AZ15">
            <v>10</v>
          </cell>
          <cell r="BA15">
            <v>10</v>
          </cell>
          <cell r="BB15">
            <v>10</v>
          </cell>
          <cell r="BC15">
            <v>10</v>
          </cell>
          <cell r="BD15">
            <v>10</v>
          </cell>
          <cell r="BE15">
            <v>10</v>
          </cell>
          <cell r="BF15">
            <v>9</v>
          </cell>
          <cell r="BG15">
            <v>9</v>
          </cell>
          <cell r="BH15">
            <v>9</v>
          </cell>
          <cell r="BI15">
            <v>6</v>
          </cell>
          <cell r="BJ15">
            <v>6</v>
          </cell>
          <cell r="BK15">
            <v>6</v>
          </cell>
          <cell r="BL15">
            <v>6</v>
          </cell>
          <cell r="BM15">
            <v>6</v>
          </cell>
          <cell r="BN15">
            <v>6</v>
          </cell>
          <cell r="BO15">
            <v>6</v>
          </cell>
          <cell r="BP15">
            <v>6</v>
          </cell>
          <cell r="BQ15">
            <v>7.083333333333333</v>
          </cell>
          <cell r="BR15">
            <v>3</v>
          </cell>
          <cell r="BS15">
            <v>3</v>
          </cell>
          <cell r="BT15">
            <v>3</v>
          </cell>
          <cell r="BU15">
            <v>3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1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</row>
        <row r="22">
          <cell r="E22" t="str">
            <v>Expenses FY98</v>
          </cell>
          <cell r="R22" t="str">
            <v>Expenses FY99</v>
          </cell>
          <cell r="AE22" t="str">
            <v>Expenses FY00</v>
          </cell>
          <cell r="AR22" t="str">
            <v>Expenses FY01</v>
          </cell>
          <cell r="BE22" t="str">
            <v>Expenses FY02</v>
          </cell>
          <cell r="BR22" t="str">
            <v>Expenses FY03</v>
          </cell>
          <cell r="CE22" t="str">
            <v>Expenses FY04</v>
          </cell>
        </row>
        <row r="23">
          <cell r="E23" t="str">
            <v>Sept-97</v>
          </cell>
          <cell r="F23" t="str">
            <v>Oct-97</v>
          </cell>
          <cell r="G23">
            <v>35735</v>
          </cell>
          <cell r="H23" t="str">
            <v>Dec-97</v>
          </cell>
          <cell r="I23">
            <v>35796</v>
          </cell>
          <cell r="J23" t="str">
            <v>Febr-98</v>
          </cell>
          <cell r="K23">
            <v>35855</v>
          </cell>
          <cell r="L23">
            <v>35886</v>
          </cell>
          <cell r="M23">
            <v>35916</v>
          </cell>
          <cell r="N23">
            <v>35947</v>
          </cell>
          <cell r="O23">
            <v>35977</v>
          </cell>
          <cell r="P23">
            <v>36008</v>
          </cell>
          <cell r="Q23" t="str">
            <v>TOTAL FY98</v>
          </cell>
          <cell r="R23">
            <v>36039</v>
          </cell>
          <cell r="S23">
            <v>36069</v>
          </cell>
          <cell r="T23">
            <v>36100</v>
          </cell>
          <cell r="U23">
            <v>36130</v>
          </cell>
          <cell r="V23">
            <v>36161</v>
          </cell>
          <cell r="W23">
            <v>36192</v>
          </cell>
          <cell r="X23">
            <v>36220</v>
          </cell>
          <cell r="Y23">
            <v>36251</v>
          </cell>
          <cell r="Z23">
            <v>36281</v>
          </cell>
          <cell r="AA23">
            <v>36312</v>
          </cell>
          <cell r="AB23">
            <v>36342</v>
          </cell>
          <cell r="AC23">
            <v>36373</v>
          </cell>
          <cell r="AD23" t="str">
            <v>TOTAL FY99</v>
          </cell>
          <cell r="AE23">
            <v>36404</v>
          </cell>
          <cell r="AF23">
            <v>36434</v>
          </cell>
          <cell r="AG23">
            <v>36465</v>
          </cell>
          <cell r="AH23">
            <v>36495</v>
          </cell>
          <cell r="AI23">
            <v>36526</v>
          </cell>
          <cell r="AJ23">
            <v>36557</v>
          </cell>
          <cell r="AK23">
            <v>36586</v>
          </cell>
          <cell r="AL23">
            <v>36617</v>
          </cell>
          <cell r="AM23">
            <v>36647</v>
          </cell>
          <cell r="AN23">
            <v>36678</v>
          </cell>
          <cell r="AO23">
            <v>36708</v>
          </cell>
          <cell r="AP23">
            <v>36739</v>
          </cell>
          <cell r="AQ23" t="str">
            <v>TOTAL FY00</v>
          </cell>
          <cell r="AR23">
            <v>36770</v>
          </cell>
          <cell r="AS23">
            <v>36800</v>
          </cell>
          <cell r="AT23">
            <v>36831</v>
          </cell>
          <cell r="AU23">
            <v>36861</v>
          </cell>
          <cell r="AV23">
            <v>36892</v>
          </cell>
          <cell r="AW23">
            <v>36923</v>
          </cell>
          <cell r="AX23">
            <v>36951</v>
          </cell>
          <cell r="AY23">
            <v>36982</v>
          </cell>
          <cell r="AZ23">
            <v>37012</v>
          </cell>
          <cell r="BA23">
            <v>37043</v>
          </cell>
          <cell r="BB23">
            <v>37073</v>
          </cell>
          <cell r="BC23">
            <v>37104</v>
          </cell>
          <cell r="BD23" t="str">
            <v>TOTAL FY01</v>
          </cell>
          <cell r="BE23">
            <v>37135</v>
          </cell>
          <cell r="BF23">
            <v>37165</v>
          </cell>
          <cell r="BG23">
            <v>37196</v>
          </cell>
          <cell r="BH23">
            <v>37226</v>
          </cell>
          <cell r="BI23">
            <v>37257</v>
          </cell>
          <cell r="BJ23">
            <v>37288</v>
          </cell>
          <cell r="BK23">
            <v>37316</v>
          </cell>
          <cell r="BL23">
            <v>37347</v>
          </cell>
          <cell r="BM23">
            <v>37377</v>
          </cell>
          <cell r="BN23">
            <v>37408</v>
          </cell>
          <cell r="BO23">
            <v>37438</v>
          </cell>
          <cell r="BP23">
            <v>37469</v>
          </cell>
          <cell r="BQ23" t="str">
            <v>TOTAL FY02</v>
          </cell>
          <cell r="BR23">
            <v>37500</v>
          </cell>
          <cell r="BS23">
            <v>37530</v>
          </cell>
          <cell r="BT23">
            <v>37561</v>
          </cell>
          <cell r="BU23">
            <v>37591</v>
          </cell>
          <cell r="BV23">
            <v>37622</v>
          </cell>
          <cell r="BW23">
            <v>37653</v>
          </cell>
          <cell r="BX23">
            <v>37681</v>
          </cell>
          <cell r="BY23">
            <v>37712</v>
          </cell>
          <cell r="BZ23">
            <v>37742</v>
          </cell>
          <cell r="CA23">
            <v>37773</v>
          </cell>
          <cell r="CB23">
            <v>37803</v>
          </cell>
          <cell r="CC23">
            <v>37834</v>
          </cell>
          <cell r="CD23" t="str">
            <v>TOTAL FY03</v>
          </cell>
          <cell r="CE23">
            <v>37865</v>
          </cell>
          <cell r="CF23">
            <v>37895</v>
          </cell>
          <cell r="CG23">
            <v>37926</v>
          </cell>
          <cell r="CH23">
            <v>37956</v>
          </cell>
          <cell r="CI23">
            <v>37987</v>
          </cell>
          <cell r="CJ23">
            <v>38018</v>
          </cell>
          <cell r="CK23">
            <v>38047</v>
          </cell>
          <cell r="CL23">
            <v>38078</v>
          </cell>
          <cell r="CM23">
            <v>38108</v>
          </cell>
          <cell r="CN23">
            <v>38139</v>
          </cell>
          <cell r="CO23">
            <v>38169</v>
          </cell>
          <cell r="CP23">
            <v>38200</v>
          </cell>
          <cell r="CQ23" t="str">
            <v>TOTAL FY04</v>
          </cell>
        </row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33390</v>
          </cell>
          <cell r="AJ25">
            <v>33390</v>
          </cell>
          <cell r="AK25">
            <v>33390</v>
          </cell>
          <cell r="AL25">
            <v>33390</v>
          </cell>
          <cell r="AM25">
            <v>33390</v>
          </cell>
          <cell r="AN25">
            <v>33390</v>
          </cell>
          <cell r="AO25">
            <v>33390</v>
          </cell>
          <cell r="AP25">
            <v>33390</v>
          </cell>
          <cell r="AQ25">
            <v>267120</v>
          </cell>
          <cell r="AR25">
            <v>33390</v>
          </cell>
          <cell r="AS25">
            <v>33390</v>
          </cell>
          <cell r="AT25">
            <v>33390</v>
          </cell>
          <cell r="AU25">
            <v>33390</v>
          </cell>
          <cell r="AV25">
            <v>33390</v>
          </cell>
          <cell r="AW25">
            <v>33390</v>
          </cell>
          <cell r="AX25">
            <v>33390</v>
          </cell>
          <cell r="AY25">
            <v>33390</v>
          </cell>
          <cell r="AZ25">
            <v>33390</v>
          </cell>
          <cell r="BA25">
            <v>33390</v>
          </cell>
          <cell r="BB25">
            <v>33390</v>
          </cell>
          <cell r="BC25">
            <v>33390</v>
          </cell>
          <cell r="BD25">
            <v>400680</v>
          </cell>
          <cell r="BE25">
            <v>33390</v>
          </cell>
          <cell r="BF25">
            <v>33390</v>
          </cell>
          <cell r="BG25">
            <v>33390</v>
          </cell>
          <cell r="BH25">
            <v>33390</v>
          </cell>
          <cell r="BI25">
            <v>33390</v>
          </cell>
          <cell r="BJ25">
            <v>33390</v>
          </cell>
          <cell r="BK25">
            <v>33390</v>
          </cell>
          <cell r="BL25">
            <v>33390</v>
          </cell>
          <cell r="BM25">
            <v>33390</v>
          </cell>
          <cell r="BN25">
            <v>33390</v>
          </cell>
          <cell r="BO25">
            <v>33390</v>
          </cell>
          <cell r="BP25">
            <v>33390</v>
          </cell>
          <cell r="BQ25">
            <v>400680</v>
          </cell>
          <cell r="BR25">
            <v>22260</v>
          </cell>
          <cell r="BS25">
            <v>22260</v>
          </cell>
          <cell r="BT25">
            <v>22260</v>
          </cell>
          <cell r="BU25">
            <v>22260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89040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</row>
        <row r="26"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29680</v>
          </cell>
          <cell r="AJ26">
            <v>44520</v>
          </cell>
          <cell r="AK26">
            <v>44520</v>
          </cell>
          <cell r="AL26">
            <v>74200</v>
          </cell>
          <cell r="AM26">
            <v>74200</v>
          </cell>
          <cell r="AN26">
            <v>74200</v>
          </cell>
          <cell r="AO26">
            <v>74200</v>
          </cell>
          <cell r="AP26">
            <v>74200</v>
          </cell>
          <cell r="AQ26">
            <v>489720</v>
          </cell>
          <cell r="AR26">
            <v>74200</v>
          </cell>
          <cell r="AS26">
            <v>74200</v>
          </cell>
          <cell r="AT26">
            <v>74200</v>
          </cell>
          <cell r="AU26">
            <v>74200</v>
          </cell>
          <cell r="AV26">
            <v>74200</v>
          </cell>
          <cell r="AW26">
            <v>74200</v>
          </cell>
          <cell r="AX26">
            <v>74200</v>
          </cell>
          <cell r="AY26">
            <v>74200</v>
          </cell>
          <cell r="AZ26">
            <v>74200</v>
          </cell>
          <cell r="BA26">
            <v>74200</v>
          </cell>
          <cell r="BB26">
            <v>74200</v>
          </cell>
          <cell r="BC26">
            <v>74200</v>
          </cell>
          <cell r="BD26">
            <v>890400</v>
          </cell>
          <cell r="BE26">
            <v>74200</v>
          </cell>
          <cell r="BF26">
            <v>74200</v>
          </cell>
          <cell r="BG26">
            <v>74200</v>
          </cell>
          <cell r="BH26">
            <v>74200</v>
          </cell>
          <cell r="BI26">
            <v>74200</v>
          </cell>
          <cell r="BJ26">
            <v>74200</v>
          </cell>
          <cell r="BK26">
            <v>74200</v>
          </cell>
          <cell r="BL26">
            <v>74200</v>
          </cell>
          <cell r="BM26">
            <v>74200</v>
          </cell>
          <cell r="BN26">
            <v>74200</v>
          </cell>
          <cell r="BO26">
            <v>74200</v>
          </cell>
          <cell r="BP26">
            <v>74200</v>
          </cell>
          <cell r="BQ26">
            <v>890400</v>
          </cell>
          <cell r="BR26">
            <v>74200</v>
          </cell>
          <cell r="BS26">
            <v>74200</v>
          </cell>
          <cell r="BT26">
            <v>74200</v>
          </cell>
          <cell r="BU26">
            <v>74200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296800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6160</v>
          </cell>
          <cell r="AJ27">
            <v>6160</v>
          </cell>
          <cell r="AK27">
            <v>6160</v>
          </cell>
          <cell r="AL27">
            <v>12320</v>
          </cell>
          <cell r="AM27">
            <v>12320</v>
          </cell>
          <cell r="AN27">
            <v>12320</v>
          </cell>
          <cell r="AO27">
            <v>12320</v>
          </cell>
          <cell r="AP27">
            <v>12320</v>
          </cell>
          <cell r="AQ27">
            <v>80080</v>
          </cell>
          <cell r="AR27">
            <v>12320</v>
          </cell>
          <cell r="AS27">
            <v>12320</v>
          </cell>
          <cell r="AT27">
            <v>12320</v>
          </cell>
          <cell r="AU27">
            <v>12320</v>
          </cell>
          <cell r="AV27">
            <v>12320</v>
          </cell>
          <cell r="AW27">
            <v>12320</v>
          </cell>
          <cell r="AX27">
            <v>12320</v>
          </cell>
          <cell r="AY27">
            <v>12320</v>
          </cell>
          <cell r="AZ27">
            <v>12320</v>
          </cell>
          <cell r="BA27">
            <v>12320</v>
          </cell>
          <cell r="BB27">
            <v>12320</v>
          </cell>
          <cell r="BC27">
            <v>12320</v>
          </cell>
          <cell r="BD27">
            <v>147840</v>
          </cell>
          <cell r="BE27">
            <v>12320</v>
          </cell>
          <cell r="BF27">
            <v>12320</v>
          </cell>
          <cell r="BG27">
            <v>12320</v>
          </cell>
          <cell r="BH27">
            <v>12320</v>
          </cell>
          <cell r="BI27">
            <v>12320</v>
          </cell>
          <cell r="BJ27">
            <v>12320</v>
          </cell>
          <cell r="BK27">
            <v>12320</v>
          </cell>
          <cell r="BL27">
            <v>12320</v>
          </cell>
          <cell r="BM27">
            <v>12320</v>
          </cell>
          <cell r="BN27">
            <v>12320</v>
          </cell>
          <cell r="BO27">
            <v>12320</v>
          </cell>
          <cell r="BP27">
            <v>12320</v>
          </cell>
          <cell r="BQ27">
            <v>147840</v>
          </cell>
          <cell r="BR27">
            <v>6160</v>
          </cell>
          <cell r="BS27">
            <v>6160</v>
          </cell>
          <cell r="BT27">
            <v>6160</v>
          </cell>
          <cell r="BU27">
            <v>6160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24640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</row>
        <row r="28"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6930</v>
          </cell>
          <cell r="AJ28">
            <v>6930</v>
          </cell>
          <cell r="AK28">
            <v>13860</v>
          </cell>
          <cell r="AL28">
            <v>13860</v>
          </cell>
          <cell r="AM28">
            <v>13860</v>
          </cell>
          <cell r="AN28">
            <v>13860</v>
          </cell>
          <cell r="AO28">
            <v>13860</v>
          </cell>
          <cell r="AP28">
            <v>13860</v>
          </cell>
          <cell r="AQ28">
            <v>97020</v>
          </cell>
          <cell r="AR28">
            <v>13860</v>
          </cell>
          <cell r="AS28">
            <v>13860</v>
          </cell>
          <cell r="AT28">
            <v>13860</v>
          </cell>
          <cell r="AU28">
            <v>13860</v>
          </cell>
          <cell r="AV28">
            <v>13860</v>
          </cell>
          <cell r="AW28">
            <v>13860</v>
          </cell>
          <cell r="AX28">
            <v>13860</v>
          </cell>
          <cell r="AY28">
            <v>13860</v>
          </cell>
          <cell r="AZ28">
            <v>13860</v>
          </cell>
          <cell r="BA28">
            <v>13860</v>
          </cell>
          <cell r="BB28">
            <v>13860</v>
          </cell>
          <cell r="BC28">
            <v>13860</v>
          </cell>
          <cell r="BD28">
            <v>166320</v>
          </cell>
          <cell r="BE28">
            <v>6930</v>
          </cell>
          <cell r="BF28">
            <v>6930</v>
          </cell>
          <cell r="BG28">
            <v>6930</v>
          </cell>
          <cell r="BH28">
            <v>6930</v>
          </cell>
          <cell r="BI28">
            <v>6930</v>
          </cell>
          <cell r="BJ28">
            <v>6930</v>
          </cell>
          <cell r="BK28">
            <v>6930</v>
          </cell>
          <cell r="BL28">
            <v>6930</v>
          </cell>
          <cell r="BM28">
            <v>6930</v>
          </cell>
          <cell r="BN28">
            <v>6930</v>
          </cell>
          <cell r="BO28">
            <v>6930</v>
          </cell>
          <cell r="BP28">
            <v>6930</v>
          </cell>
          <cell r="BQ28">
            <v>83160</v>
          </cell>
          <cell r="BR28">
            <v>6930</v>
          </cell>
          <cell r="BS28">
            <v>6930</v>
          </cell>
          <cell r="BT28">
            <v>6930</v>
          </cell>
          <cell r="BU28">
            <v>6930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27720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8050</v>
          </cell>
          <cell r="AJ29">
            <v>8050</v>
          </cell>
          <cell r="AK29">
            <v>24150</v>
          </cell>
          <cell r="AL29">
            <v>24150</v>
          </cell>
          <cell r="AM29">
            <v>24150</v>
          </cell>
          <cell r="AN29">
            <v>24150</v>
          </cell>
          <cell r="AO29">
            <v>24150</v>
          </cell>
          <cell r="AP29">
            <v>24150</v>
          </cell>
          <cell r="AQ29">
            <v>161000</v>
          </cell>
          <cell r="AR29">
            <v>24150</v>
          </cell>
          <cell r="AS29">
            <v>24150</v>
          </cell>
          <cell r="AT29">
            <v>24150</v>
          </cell>
          <cell r="AU29">
            <v>24150</v>
          </cell>
          <cell r="AV29">
            <v>32200</v>
          </cell>
          <cell r="AW29">
            <v>32200</v>
          </cell>
          <cell r="AX29">
            <v>32200</v>
          </cell>
          <cell r="AY29">
            <v>32200</v>
          </cell>
          <cell r="AZ29">
            <v>32200</v>
          </cell>
          <cell r="BA29">
            <v>32200</v>
          </cell>
          <cell r="BB29">
            <v>32200</v>
          </cell>
          <cell r="BC29">
            <v>32200</v>
          </cell>
          <cell r="BD29">
            <v>354200</v>
          </cell>
          <cell r="BE29">
            <v>32200</v>
          </cell>
          <cell r="BF29">
            <v>32200</v>
          </cell>
          <cell r="BG29">
            <v>32200</v>
          </cell>
          <cell r="BH29">
            <v>32200</v>
          </cell>
          <cell r="BI29">
            <v>32200</v>
          </cell>
          <cell r="BJ29">
            <v>32200</v>
          </cell>
          <cell r="BK29">
            <v>32200</v>
          </cell>
          <cell r="BL29">
            <v>32200</v>
          </cell>
          <cell r="BM29">
            <v>32200</v>
          </cell>
          <cell r="BN29">
            <v>32200</v>
          </cell>
          <cell r="BO29">
            <v>32200</v>
          </cell>
          <cell r="BP29">
            <v>32200</v>
          </cell>
          <cell r="BQ29">
            <v>386400</v>
          </cell>
          <cell r="BR29">
            <v>24150</v>
          </cell>
          <cell r="BS29">
            <v>24150</v>
          </cell>
          <cell r="BT29">
            <v>24150</v>
          </cell>
          <cell r="BU29">
            <v>16100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88550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</row>
        <row r="30"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21980</v>
          </cell>
          <cell r="AJ30">
            <v>21980</v>
          </cell>
          <cell r="AK30">
            <v>21980</v>
          </cell>
          <cell r="AL30">
            <v>21980</v>
          </cell>
          <cell r="AM30">
            <v>21980</v>
          </cell>
          <cell r="AN30">
            <v>21980</v>
          </cell>
          <cell r="AO30">
            <v>21980</v>
          </cell>
          <cell r="AP30">
            <v>21980</v>
          </cell>
          <cell r="AQ30">
            <v>175840</v>
          </cell>
          <cell r="AR30">
            <v>21980</v>
          </cell>
          <cell r="AS30">
            <v>21980</v>
          </cell>
          <cell r="AT30">
            <v>21980</v>
          </cell>
          <cell r="AU30">
            <v>21980</v>
          </cell>
          <cell r="AV30">
            <v>21980</v>
          </cell>
          <cell r="AW30">
            <v>21980</v>
          </cell>
          <cell r="AX30">
            <v>21980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153860</v>
          </cell>
          <cell r="BE30">
            <v>21980</v>
          </cell>
          <cell r="BF30">
            <v>21980</v>
          </cell>
          <cell r="BG30">
            <v>21980</v>
          </cell>
          <cell r="BH30">
            <v>21980</v>
          </cell>
          <cell r="BI30">
            <v>21980</v>
          </cell>
          <cell r="BJ30">
            <v>21980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131880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98400</v>
          </cell>
          <cell r="AJ31">
            <v>118080</v>
          </cell>
          <cell r="AK31">
            <v>157440</v>
          </cell>
          <cell r="AL31">
            <v>196800</v>
          </cell>
          <cell r="AM31">
            <v>196800</v>
          </cell>
          <cell r="AN31">
            <v>196800</v>
          </cell>
          <cell r="AO31">
            <v>196800</v>
          </cell>
          <cell r="AP31">
            <v>196800</v>
          </cell>
          <cell r="AQ31">
            <v>1357920</v>
          </cell>
          <cell r="AR31">
            <v>196800</v>
          </cell>
          <cell r="AS31">
            <v>196800</v>
          </cell>
          <cell r="AT31">
            <v>196800</v>
          </cell>
          <cell r="AU31">
            <v>196800</v>
          </cell>
          <cell r="AV31">
            <v>196800</v>
          </cell>
          <cell r="AW31">
            <v>196800</v>
          </cell>
          <cell r="AX31">
            <v>196800</v>
          </cell>
          <cell r="AY31">
            <v>196800</v>
          </cell>
          <cell r="AZ31">
            <v>196800</v>
          </cell>
          <cell r="BA31">
            <v>196800</v>
          </cell>
          <cell r="BB31">
            <v>196800</v>
          </cell>
          <cell r="BC31">
            <v>196800</v>
          </cell>
          <cell r="BD31">
            <v>2361600</v>
          </cell>
          <cell r="BE31">
            <v>196800</v>
          </cell>
          <cell r="BF31">
            <v>177120</v>
          </cell>
          <cell r="BG31">
            <v>177120</v>
          </cell>
          <cell r="BH31">
            <v>177120</v>
          </cell>
          <cell r="BI31">
            <v>118080</v>
          </cell>
          <cell r="BJ31">
            <v>118080</v>
          </cell>
          <cell r="BK31">
            <v>118080</v>
          </cell>
          <cell r="BL31">
            <v>118080</v>
          </cell>
          <cell r="BM31">
            <v>118080</v>
          </cell>
          <cell r="BN31">
            <v>118080</v>
          </cell>
          <cell r="BO31">
            <v>118080</v>
          </cell>
          <cell r="BP31">
            <v>118080</v>
          </cell>
          <cell r="BQ31">
            <v>1672800</v>
          </cell>
          <cell r="BR31">
            <v>59040</v>
          </cell>
          <cell r="BS31">
            <v>59040</v>
          </cell>
          <cell r="BT31">
            <v>59040</v>
          </cell>
          <cell r="BU31">
            <v>59040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236160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</row>
        <row r="33">
          <cell r="Q33">
            <v>0</v>
          </cell>
          <cell r="AD33">
            <v>0</v>
          </cell>
          <cell r="AQ33">
            <v>0</v>
          </cell>
          <cell r="BD33">
            <v>0</v>
          </cell>
          <cell r="BQ33">
            <v>0</v>
          </cell>
          <cell r="CD33">
            <v>0</v>
          </cell>
          <cell r="CQ33">
            <v>0</v>
          </cell>
        </row>
        <row r="34">
          <cell r="Q34">
            <v>0</v>
          </cell>
          <cell r="AD34">
            <v>0</v>
          </cell>
          <cell r="AI34">
            <v>24000</v>
          </cell>
          <cell r="AJ34">
            <v>32000</v>
          </cell>
          <cell r="AK34">
            <v>36000</v>
          </cell>
          <cell r="AL34">
            <v>48000</v>
          </cell>
          <cell r="AM34">
            <v>48000</v>
          </cell>
          <cell r="AN34">
            <v>48000</v>
          </cell>
          <cell r="AO34">
            <v>48000</v>
          </cell>
          <cell r="AP34">
            <v>48000</v>
          </cell>
          <cell r="AQ34">
            <v>332000</v>
          </cell>
          <cell r="AR34">
            <v>48000</v>
          </cell>
          <cell r="AS34">
            <v>48000</v>
          </cell>
          <cell r="AT34">
            <v>48000</v>
          </cell>
          <cell r="AU34">
            <v>48000</v>
          </cell>
          <cell r="AV34">
            <v>48000</v>
          </cell>
          <cell r="AW34">
            <v>48000</v>
          </cell>
          <cell r="AX34">
            <v>48000</v>
          </cell>
          <cell r="AY34">
            <v>48000</v>
          </cell>
          <cell r="AZ34">
            <v>48000</v>
          </cell>
          <cell r="BA34">
            <v>48000</v>
          </cell>
          <cell r="BB34">
            <v>48000</v>
          </cell>
          <cell r="BC34">
            <v>48000</v>
          </cell>
          <cell r="BD34">
            <v>576000</v>
          </cell>
          <cell r="BE34">
            <v>48000</v>
          </cell>
          <cell r="BF34">
            <v>44000</v>
          </cell>
          <cell r="BG34">
            <v>44000</v>
          </cell>
          <cell r="BH34">
            <v>44000</v>
          </cell>
          <cell r="BI34">
            <v>32000</v>
          </cell>
          <cell r="BJ34">
            <v>32000</v>
          </cell>
          <cell r="BK34">
            <v>32000</v>
          </cell>
          <cell r="BL34">
            <v>32000</v>
          </cell>
          <cell r="BM34">
            <v>32000</v>
          </cell>
          <cell r="BN34">
            <v>32000</v>
          </cell>
          <cell r="BO34">
            <v>32000</v>
          </cell>
          <cell r="BP34">
            <v>32000</v>
          </cell>
          <cell r="BQ34">
            <v>436000</v>
          </cell>
          <cell r="BR34">
            <v>20000</v>
          </cell>
          <cell r="BS34">
            <v>20000</v>
          </cell>
          <cell r="BT34">
            <v>20000</v>
          </cell>
          <cell r="BU34">
            <v>20000</v>
          </cell>
          <cell r="CD34">
            <v>80000</v>
          </cell>
          <cell r="CQ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228590</v>
          </cell>
          <cell r="AJ35">
            <v>271110</v>
          </cell>
          <cell r="AK35">
            <v>337500</v>
          </cell>
          <cell r="AL35">
            <v>424700</v>
          </cell>
          <cell r="AM35">
            <v>424700</v>
          </cell>
          <cell r="AN35">
            <v>424700</v>
          </cell>
          <cell r="AO35">
            <v>424700</v>
          </cell>
          <cell r="AP35">
            <v>424700</v>
          </cell>
          <cell r="AQ35">
            <v>2960700</v>
          </cell>
          <cell r="AR35">
            <v>424700</v>
          </cell>
          <cell r="AS35">
            <v>424700</v>
          </cell>
          <cell r="AT35">
            <v>424700</v>
          </cell>
          <cell r="AU35">
            <v>424700</v>
          </cell>
          <cell r="AV35">
            <v>432750</v>
          </cell>
          <cell r="AW35">
            <v>432750</v>
          </cell>
          <cell r="AX35">
            <v>432750</v>
          </cell>
          <cell r="AY35">
            <v>410770</v>
          </cell>
          <cell r="AZ35">
            <v>410770</v>
          </cell>
          <cell r="BA35">
            <v>410770</v>
          </cell>
          <cell r="BB35">
            <v>410770</v>
          </cell>
          <cell r="BC35">
            <v>410770</v>
          </cell>
          <cell r="BD35">
            <v>5050900</v>
          </cell>
          <cell r="BE35">
            <v>425820</v>
          </cell>
          <cell r="BF35">
            <v>402140</v>
          </cell>
          <cell r="BG35">
            <v>402140</v>
          </cell>
          <cell r="BH35">
            <v>402140</v>
          </cell>
          <cell r="BI35">
            <v>331100</v>
          </cell>
          <cell r="BJ35">
            <v>331100</v>
          </cell>
          <cell r="BK35">
            <v>309120</v>
          </cell>
          <cell r="BL35">
            <v>309120</v>
          </cell>
          <cell r="BM35">
            <v>309120</v>
          </cell>
          <cell r="BN35">
            <v>309120</v>
          </cell>
          <cell r="BO35">
            <v>309120</v>
          </cell>
          <cell r="BP35">
            <v>309120</v>
          </cell>
          <cell r="BQ35">
            <v>4149160</v>
          </cell>
          <cell r="BR35">
            <v>212740</v>
          </cell>
          <cell r="BS35">
            <v>212740</v>
          </cell>
          <cell r="BT35">
            <v>212740</v>
          </cell>
          <cell r="BU35">
            <v>204690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842910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</row>
        <row r="37">
          <cell r="Q37">
            <v>0</v>
          </cell>
          <cell r="AD37">
            <v>0</v>
          </cell>
          <cell r="AI37">
            <v>50000</v>
          </cell>
          <cell r="AJ37">
            <v>120000</v>
          </cell>
          <cell r="AK37">
            <v>80000</v>
          </cell>
          <cell r="AP37">
            <v>960000</v>
          </cell>
          <cell r="AQ37">
            <v>1210000</v>
          </cell>
          <cell r="BD37">
            <v>0</v>
          </cell>
          <cell r="BP37">
            <v>450000</v>
          </cell>
          <cell r="BQ37">
            <v>450000</v>
          </cell>
          <cell r="CD37">
            <v>0</v>
          </cell>
          <cell r="CQ37">
            <v>0</v>
          </cell>
        </row>
        <row r="38">
          <cell r="Q38">
            <v>0</v>
          </cell>
          <cell r="AD38">
            <v>0</v>
          </cell>
          <cell r="AI38">
            <v>5000</v>
          </cell>
          <cell r="AJ38">
            <v>5000</v>
          </cell>
          <cell r="AK38">
            <v>5000</v>
          </cell>
          <cell r="AL38">
            <v>5000</v>
          </cell>
          <cell r="AM38">
            <v>5000</v>
          </cell>
          <cell r="AN38">
            <v>5000</v>
          </cell>
          <cell r="AO38">
            <v>5000</v>
          </cell>
          <cell r="AP38">
            <v>5000</v>
          </cell>
          <cell r="AQ38">
            <v>40000</v>
          </cell>
          <cell r="AR38">
            <v>5000</v>
          </cell>
          <cell r="AS38">
            <v>5000</v>
          </cell>
          <cell r="AT38">
            <v>5000</v>
          </cell>
          <cell r="AU38">
            <v>5000</v>
          </cell>
          <cell r="AV38">
            <v>5000</v>
          </cell>
          <cell r="AW38">
            <v>5000</v>
          </cell>
          <cell r="AX38">
            <v>5000</v>
          </cell>
          <cell r="AY38">
            <v>5000</v>
          </cell>
          <cell r="AZ38">
            <v>5000</v>
          </cell>
          <cell r="BA38">
            <v>5000</v>
          </cell>
          <cell r="BB38">
            <v>5000</v>
          </cell>
          <cell r="BC38">
            <v>5000</v>
          </cell>
          <cell r="BD38">
            <v>60000</v>
          </cell>
          <cell r="BE38">
            <v>5000</v>
          </cell>
          <cell r="BF38">
            <v>5000</v>
          </cell>
          <cell r="BG38">
            <v>5000</v>
          </cell>
          <cell r="BH38">
            <v>5000</v>
          </cell>
          <cell r="BI38">
            <v>5000</v>
          </cell>
          <cell r="BJ38">
            <v>5000</v>
          </cell>
          <cell r="BK38">
            <v>5000</v>
          </cell>
          <cell r="BL38">
            <v>5000</v>
          </cell>
          <cell r="BM38">
            <v>5000</v>
          </cell>
          <cell r="BN38">
            <v>5000</v>
          </cell>
          <cell r="BO38">
            <v>5000</v>
          </cell>
          <cell r="BP38">
            <v>5000</v>
          </cell>
          <cell r="BQ38">
            <v>60000</v>
          </cell>
          <cell r="BR38">
            <v>5000</v>
          </cell>
          <cell r="BS38">
            <v>5000</v>
          </cell>
          <cell r="BT38">
            <v>5000</v>
          </cell>
          <cell r="BU38">
            <v>5000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20000</v>
          </cell>
          <cell r="CQ38">
            <v>0</v>
          </cell>
        </row>
        <row r="39">
          <cell r="Q39">
            <v>0</v>
          </cell>
          <cell r="AD39">
            <v>0</v>
          </cell>
          <cell r="AI39">
            <v>5000</v>
          </cell>
          <cell r="AJ39">
            <v>5000</v>
          </cell>
          <cell r="AK39">
            <v>5000</v>
          </cell>
          <cell r="AL39">
            <v>5000</v>
          </cell>
          <cell r="AM39">
            <v>5000</v>
          </cell>
          <cell r="AN39">
            <v>5000</v>
          </cell>
          <cell r="AO39">
            <v>5000</v>
          </cell>
          <cell r="AP39">
            <v>5000</v>
          </cell>
          <cell r="AQ39">
            <v>40000</v>
          </cell>
          <cell r="AR39">
            <v>5000</v>
          </cell>
          <cell r="AS39">
            <v>5000</v>
          </cell>
          <cell r="AT39">
            <v>5000</v>
          </cell>
          <cell r="AU39">
            <v>5000</v>
          </cell>
          <cell r="AV39">
            <v>5000</v>
          </cell>
          <cell r="AW39">
            <v>5000</v>
          </cell>
          <cell r="AX39">
            <v>5000</v>
          </cell>
          <cell r="AY39">
            <v>5000</v>
          </cell>
          <cell r="AZ39">
            <v>5000</v>
          </cell>
          <cell r="BA39">
            <v>5000</v>
          </cell>
          <cell r="BB39">
            <v>5000</v>
          </cell>
          <cell r="BC39">
            <v>5000</v>
          </cell>
          <cell r="BD39">
            <v>60000</v>
          </cell>
          <cell r="BE39">
            <v>5000</v>
          </cell>
          <cell r="BF39">
            <v>5000</v>
          </cell>
          <cell r="BG39">
            <v>5000</v>
          </cell>
          <cell r="BH39">
            <v>5000</v>
          </cell>
          <cell r="BI39">
            <v>5000</v>
          </cell>
          <cell r="BJ39">
            <v>5000</v>
          </cell>
          <cell r="BK39">
            <v>5000</v>
          </cell>
          <cell r="BL39">
            <v>5000</v>
          </cell>
          <cell r="BM39">
            <v>5000</v>
          </cell>
          <cell r="BN39">
            <v>5000</v>
          </cell>
          <cell r="BO39">
            <v>5000</v>
          </cell>
          <cell r="BP39">
            <v>5000</v>
          </cell>
          <cell r="BQ39">
            <v>60000</v>
          </cell>
          <cell r="BR39">
            <v>5000</v>
          </cell>
          <cell r="BS39">
            <v>5000</v>
          </cell>
          <cell r="BT39">
            <v>5000</v>
          </cell>
          <cell r="BU39">
            <v>5000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20000</v>
          </cell>
          <cell r="CQ39">
            <v>0</v>
          </cell>
        </row>
        <row r="41">
          <cell r="Q41">
            <v>0</v>
          </cell>
          <cell r="AD41">
            <v>0</v>
          </cell>
          <cell r="AP41">
            <v>1550000</v>
          </cell>
          <cell r="AQ41">
            <v>1550000</v>
          </cell>
          <cell r="BC41">
            <v>2060000</v>
          </cell>
          <cell r="BD41">
            <v>2060000</v>
          </cell>
          <cell r="BP41">
            <v>70000</v>
          </cell>
          <cell r="BQ41">
            <v>70000</v>
          </cell>
          <cell r="CD41">
            <v>0</v>
          </cell>
          <cell r="CQ41">
            <v>0</v>
          </cell>
        </row>
        <row r="42">
          <cell r="Q42">
            <v>0</v>
          </cell>
          <cell r="AD42">
            <v>0</v>
          </cell>
          <cell r="AQ42">
            <v>0</v>
          </cell>
          <cell r="BD42">
            <v>0</v>
          </cell>
          <cell r="BQ42">
            <v>0</v>
          </cell>
          <cell r="CD42">
            <v>0</v>
          </cell>
          <cell r="CQ42">
            <v>0</v>
          </cell>
        </row>
        <row r="43">
          <cell r="Q43">
            <v>0</v>
          </cell>
          <cell r="AD43">
            <v>0</v>
          </cell>
          <cell r="AQ43">
            <v>0</v>
          </cell>
          <cell r="BD43">
            <v>0</v>
          </cell>
          <cell r="BQ43">
            <v>0</v>
          </cell>
          <cell r="CD43">
            <v>0</v>
          </cell>
          <cell r="CQ43">
            <v>0</v>
          </cell>
        </row>
        <row r="44">
          <cell r="Q44">
            <v>0</v>
          </cell>
          <cell r="AD44">
            <v>0</v>
          </cell>
          <cell r="AP44">
            <v>600000</v>
          </cell>
          <cell r="AQ44">
            <v>600000</v>
          </cell>
          <cell r="BC44">
            <v>300000</v>
          </cell>
          <cell r="BD44">
            <v>300000</v>
          </cell>
          <cell r="BQ44">
            <v>0</v>
          </cell>
          <cell r="CD44">
            <v>0</v>
          </cell>
          <cell r="CQ44">
            <v>0</v>
          </cell>
        </row>
        <row r="45">
          <cell r="Q45">
            <v>0</v>
          </cell>
          <cell r="AD45">
            <v>0</v>
          </cell>
          <cell r="AP45">
            <v>125000</v>
          </cell>
          <cell r="AQ45">
            <v>125000</v>
          </cell>
          <cell r="BC45">
            <v>195000</v>
          </cell>
          <cell r="BD45">
            <v>195000</v>
          </cell>
          <cell r="BP45">
            <v>205000</v>
          </cell>
          <cell r="BQ45">
            <v>205000</v>
          </cell>
          <cell r="CD45">
            <v>0</v>
          </cell>
          <cell r="CQ45">
            <v>0</v>
          </cell>
        </row>
        <row r="46">
          <cell r="Q46">
            <v>0</v>
          </cell>
          <cell r="AD46">
            <v>0</v>
          </cell>
          <cell r="AP46">
            <v>2000000</v>
          </cell>
          <cell r="AQ46">
            <v>2000000</v>
          </cell>
          <cell r="BC46">
            <v>1000000</v>
          </cell>
          <cell r="BD46">
            <v>1000000</v>
          </cell>
          <cell r="BQ46">
            <v>0</v>
          </cell>
          <cell r="CD46">
            <v>0</v>
          </cell>
          <cell r="CQ46">
            <v>0</v>
          </cell>
        </row>
        <row r="47">
          <cell r="Q47">
            <v>0</v>
          </cell>
          <cell r="AD47">
            <v>0</v>
          </cell>
          <cell r="AQ47">
            <v>0</v>
          </cell>
          <cell r="BD47">
            <v>0</v>
          </cell>
          <cell r="BQ47">
            <v>0</v>
          </cell>
          <cell r="CD47">
            <v>0</v>
          </cell>
          <cell r="CQ47">
            <v>0</v>
          </cell>
        </row>
        <row r="49">
          <cell r="Q49">
            <v>0</v>
          </cell>
          <cell r="AD49">
            <v>0</v>
          </cell>
          <cell r="AQ49">
            <v>0</v>
          </cell>
          <cell r="BD49">
            <v>0</v>
          </cell>
          <cell r="BQ49">
            <v>0</v>
          </cell>
          <cell r="CD49">
            <v>0</v>
          </cell>
          <cell r="CQ49">
            <v>0</v>
          </cell>
        </row>
        <row r="50">
          <cell r="Q50">
            <v>0</v>
          </cell>
          <cell r="AD50">
            <v>0</v>
          </cell>
          <cell r="AQ50">
            <v>0</v>
          </cell>
          <cell r="BD50">
            <v>0</v>
          </cell>
          <cell r="BQ50">
            <v>0</v>
          </cell>
          <cell r="CD50">
            <v>0</v>
          </cell>
          <cell r="CQ50">
            <v>0</v>
          </cell>
        </row>
        <row r="51">
          <cell r="Q51">
            <v>0</v>
          </cell>
          <cell r="AD51">
            <v>0</v>
          </cell>
          <cell r="AP51">
            <v>297000</v>
          </cell>
          <cell r="AQ51">
            <v>297000</v>
          </cell>
          <cell r="BC51">
            <v>297000</v>
          </cell>
          <cell r="BD51">
            <v>297000</v>
          </cell>
          <cell r="BP51">
            <v>222000</v>
          </cell>
          <cell r="BQ51">
            <v>222000</v>
          </cell>
          <cell r="CD51">
            <v>0</v>
          </cell>
          <cell r="CQ51">
            <v>0</v>
          </cell>
        </row>
        <row r="52">
          <cell r="Q52">
            <v>0</v>
          </cell>
          <cell r="AD52">
            <v>0</v>
          </cell>
          <cell r="AP52">
            <v>520000</v>
          </cell>
          <cell r="AQ52">
            <v>520000</v>
          </cell>
          <cell r="BC52">
            <v>600000</v>
          </cell>
          <cell r="BD52">
            <v>600000</v>
          </cell>
          <cell r="BP52">
            <v>740000</v>
          </cell>
          <cell r="BQ52">
            <v>740000</v>
          </cell>
          <cell r="CD52">
            <v>0</v>
          </cell>
          <cell r="CQ52">
            <v>0</v>
          </cell>
        </row>
        <row r="53">
          <cell r="Q53">
            <v>0</v>
          </cell>
          <cell r="AD53">
            <v>0</v>
          </cell>
          <cell r="AP53">
            <v>349293</v>
          </cell>
          <cell r="AQ53">
            <v>349293</v>
          </cell>
          <cell r="BC53">
            <v>582155</v>
          </cell>
          <cell r="BD53">
            <v>582155</v>
          </cell>
          <cell r="BP53">
            <v>232862</v>
          </cell>
          <cell r="BQ53">
            <v>232862</v>
          </cell>
          <cell r="CD53">
            <v>0</v>
          </cell>
          <cell r="CQ53">
            <v>0</v>
          </cell>
        </row>
        <row r="54">
          <cell r="Q54">
            <v>0</v>
          </cell>
          <cell r="AD54">
            <v>0</v>
          </cell>
          <cell r="AE54">
            <v>1000</v>
          </cell>
          <cell r="AF54">
            <v>10000</v>
          </cell>
          <cell r="AG54">
            <v>10000</v>
          </cell>
          <cell r="AH54">
            <v>10000</v>
          </cell>
          <cell r="AI54">
            <v>10000</v>
          </cell>
          <cell r="AJ54">
            <v>10000</v>
          </cell>
          <cell r="AK54">
            <v>1000</v>
          </cell>
          <cell r="AL54">
            <v>1000</v>
          </cell>
          <cell r="AM54">
            <v>1000</v>
          </cell>
          <cell r="AN54">
            <v>1000</v>
          </cell>
          <cell r="AO54">
            <v>1000</v>
          </cell>
          <cell r="AP54">
            <v>1000</v>
          </cell>
          <cell r="AQ54">
            <v>57000</v>
          </cell>
          <cell r="AR54">
            <v>1000</v>
          </cell>
          <cell r="AS54">
            <v>1000</v>
          </cell>
          <cell r="AT54">
            <v>1000</v>
          </cell>
          <cell r="AU54">
            <v>1000</v>
          </cell>
          <cell r="AV54">
            <v>1000</v>
          </cell>
          <cell r="AW54">
            <v>1000</v>
          </cell>
          <cell r="AX54">
            <v>1000</v>
          </cell>
          <cell r="AY54">
            <v>1000</v>
          </cell>
          <cell r="AZ54">
            <v>1000</v>
          </cell>
          <cell r="BA54">
            <v>1000</v>
          </cell>
          <cell r="BB54">
            <v>1000</v>
          </cell>
          <cell r="BC54">
            <v>1000</v>
          </cell>
          <cell r="BD54">
            <v>12000</v>
          </cell>
          <cell r="BE54">
            <v>1000</v>
          </cell>
          <cell r="BF54">
            <v>1000</v>
          </cell>
          <cell r="BG54">
            <v>1000</v>
          </cell>
          <cell r="BH54">
            <v>1000</v>
          </cell>
          <cell r="BI54">
            <v>1000</v>
          </cell>
          <cell r="BJ54">
            <v>1000</v>
          </cell>
          <cell r="BK54">
            <v>1000</v>
          </cell>
          <cell r="BL54">
            <v>1000</v>
          </cell>
          <cell r="BM54">
            <v>1000</v>
          </cell>
          <cell r="BN54">
            <v>1000</v>
          </cell>
          <cell r="BO54">
            <v>1000</v>
          </cell>
          <cell r="BP54">
            <v>1000</v>
          </cell>
          <cell r="BQ54">
            <v>12000</v>
          </cell>
          <cell r="BR54">
            <v>1000</v>
          </cell>
          <cell r="BS54">
            <v>1000</v>
          </cell>
          <cell r="BT54">
            <v>1000</v>
          </cell>
          <cell r="BU54">
            <v>1000</v>
          </cell>
          <cell r="CD54">
            <v>4000</v>
          </cell>
          <cell r="CQ54">
            <v>0</v>
          </cell>
        </row>
        <row r="55">
          <cell r="Q55">
            <v>0</v>
          </cell>
          <cell r="AD55">
            <v>0</v>
          </cell>
          <cell r="AP55">
            <v>90000</v>
          </cell>
          <cell r="AQ55">
            <v>90000</v>
          </cell>
          <cell r="BC55">
            <v>170000</v>
          </cell>
          <cell r="BD55">
            <v>170000</v>
          </cell>
          <cell r="BP55">
            <v>170000</v>
          </cell>
          <cell r="BQ55">
            <v>170000</v>
          </cell>
          <cell r="BU55">
            <v>80000</v>
          </cell>
          <cell r="CD55">
            <v>80000</v>
          </cell>
          <cell r="CQ55">
            <v>0</v>
          </cell>
        </row>
        <row r="56">
          <cell r="Q56">
            <v>0</v>
          </cell>
          <cell r="AD56">
            <v>0</v>
          </cell>
          <cell r="AQ56">
            <v>0</v>
          </cell>
          <cell r="BD56">
            <v>0</v>
          </cell>
          <cell r="BQ56">
            <v>0</v>
          </cell>
          <cell r="CD56">
            <v>0</v>
          </cell>
          <cell r="CQ56">
            <v>0</v>
          </cell>
        </row>
        <row r="58"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1000</v>
          </cell>
          <cell r="AF58">
            <v>10000</v>
          </cell>
          <cell r="AG58">
            <v>10000</v>
          </cell>
          <cell r="AH58">
            <v>10000</v>
          </cell>
          <cell r="AI58">
            <v>298590</v>
          </cell>
          <cell r="AJ58">
            <v>411110</v>
          </cell>
          <cell r="AK58">
            <v>428500</v>
          </cell>
          <cell r="AL58">
            <v>435700</v>
          </cell>
          <cell r="AM58">
            <v>435700</v>
          </cell>
          <cell r="AN58">
            <v>435700</v>
          </cell>
          <cell r="AO58">
            <v>435700</v>
          </cell>
          <cell r="AP58">
            <v>6926993</v>
          </cell>
          <cell r="AQ58">
            <v>9838993</v>
          </cell>
          <cell r="AR58">
            <v>435700</v>
          </cell>
          <cell r="AS58">
            <v>435700</v>
          </cell>
          <cell r="AT58">
            <v>435700</v>
          </cell>
          <cell r="AU58">
            <v>435700</v>
          </cell>
          <cell r="AV58">
            <v>443750</v>
          </cell>
          <cell r="AW58">
            <v>443750</v>
          </cell>
          <cell r="AX58">
            <v>443750</v>
          </cell>
          <cell r="AY58">
            <v>421770</v>
          </cell>
          <cell r="AZ58">
            <v>421770</v>
          </cell>
          <cell r="BA58">
            <v>421770</v>
          </cell>
          <cell r="BB58">
            <v>421770</v>
          </cell>
          <cell r="BC58">
            <v>5625925</v>
          </cell>
          <cell r="BD58">
            <v>10387055</v>
          </cell>
          <cell r="BE58">
            <v>436820</v>
          </cell>
          <cell r="BF58">
            <v>413140</v>
          </cell>
          <cell r="BG58">
            <v>413140</v>
          </cell>
          <cell r="BH58">
            <v>413140</v>
          </cell>
          <cell r="BI58">
            <v>342100</v>
          </cell>
          <cell r="BJ58">
            <v>342100</v>
          </cell>
          <cell r="BK58">
            <v>320120</v>
          </cell>
          <cell r="BL58">
            <v>320120</v>
          </cell>
          <cell r="BM58">
            <v>320120</v>
          </cell>
          <cell r="BN58">
            <v>320120</v>
          </cell>
          <cell r="BO58">
            <v>320120</v>
          </cell>
          <cell r="BP58">
            <v>2409982</v>
          </cell>
          <cell r="BQ58">
            <v>6371022</v>
          </cell>
          <cell r="BR58">
            <v>223740</v>
          </cell>
          <cell r="BS58">
            <v>223740</v>
          </cell>
          <cell r="BT58">
            <v>223740</v>
          </cell>
          <cell r="BU58">
            <v>295690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966910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</row>
        <row r="60"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30</v>
          </cell>
          <cell r="AF60">
            <v>300</v>
          </cell>
          <cell r="AG60">
            <v>300</v>
          </cell>
          <cell r="AH60">
            <v>300</v>
          </cell>
          <cell r="AI60">
            <v>8957.6999999999989</v>
          </cell>
          <cell r="AJ60">
            <v>12333.3</v>
          </cell>
          <cell r="AK60">
            <v>12855</v>
          </cell>
          <cell r="AL60">
            <v>13071</v>
          </cell>
          <cell r="AM60">
            <v>13071</v>
          </cell>
          <cell r="AN60">
            <v>13071</v>
          </cell>
          <cell r="AO60">
            <v>13071</v>
          </cell>
          <cell r="AP60">
            <v>207809.78999999998</v>
          </cell>
          <cell r="AQ60">
            <v>295169.78999999998</v>
          </cell>
          <cell r="AR60">
            <v>13071</v>
          </cell>
          <cell r="AS60">
            <v>13071</v>
          </cell>
          <cell r="AT60">
            <v>13071</v>
          </cell>
          <cell r="AU60">
            <v>13071</v>
          </cell>
          <cell r="AV60">
            <v>13312.5</v>
          </cell>
          <cell r="AW60">
            <v>13312.5</v>
          </cell>
          <cell r="AX60">
            <v>13312.5</v>
          </cell>
          <cell r="AY60">
            <v>12653.1</v>
          </cell>
          <cell r="AZ60">
            <v>12653.1</v>
          </cell>
          <cell r="BA60">
            <v>12653.1</v>
          </cell>
          <cell r="BB60">
            <v>12653.1</v>
          </cell>
          <cell r="BC60">
            <v>168777.75</v>
          </cell>
          <cell r="BD60">
            <v>311611.65000000002</v>
          </cell>
          <cell r="BE60">
            <v>13104.6</v>
          </cell>
          <cell r="BF60">
            <v>12394.199999999999</v>
          </cell>
          <cell r="BG60">
            <v>12394.199999999999</v>
          </cell>
          <cell r="BH60">
            <v>12394.199999999999</v>
          </cell>
          <cell r="BI60">
            <v>10263</v>
          </cell>
          <cell r="BJ60">
            <v>10263</v>
          </cell>
          <cell r="BK60">
            <v>9603.6</v>
          </cell>
          <cell r="BL60">
            <v>9603.6</v>
          </cell>
          <cell r="BM60">
            <v>9603.6</v>
          </cell>
          <cell r="BN60">
            <v>9603.6</v>
          </cell>
          <cell r="BO60">
            <v>9603.6</v>
          </cell>
          <cell r="BP60">
            <v>72299.459999999992</v>
          </cell>
          <cell r="BQ60">
            <v>191130.66000000003</v>
          </cell>
          <cell r="BR60">
            <v>6712.2</v>
          </cell>
          <cell r="BS60">
            <v>6712.2</v>
          </cell>
          <cell r="BT60">
            <v>6712.2</v>
          </cell>
          <cell r="BU60">
            <v>8870.6999999999989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29007.299999999996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</row>
        <row r="62">
          <cell r="Q62">
            <v>0</v>
          </cell>
          <cell r="AD62">
            <v>0</v>
          </cell>
          <cell r="AQ62">
            <v>0</v>
          </cell>
          <cell r="BD62">
            <v>0</v>
          </cell>
          <cell r="BQ62">
            <v>0</v>
          </cell>
          <cell r="BU62">
            <v>-3887520</v>
          </cell>
          <cell r="CD62">
            <v>-3887520</v>
          </cell>
          <cell r="CQ62">
            <v>0</v>
          </cell>
        </row>
        <row r="63">
          <cell r="Q63">
            <v>0</v>
          </cell>
          <cell r="AD63">
            <v>0</v>
          </cell>
          <cell r="AQ63">
            <v>0</v>
          </cell>
          <cell r="BD63">
            <v>0</v>
          </cell>
          <cell r="BQ63">
            <v>0</v>
          </cell>
          <cell r="BU63">
            <v>-2699240</v>
          </cell>
          <cell r="CD63">
            <v>-2699240</v>
          </cell>
          <cell r="CQ63">
            <v>0</v>
          </cell>
        </row>
        <row r="64">
          <cell r="Q64">
            <v>0</v>
          </cell>
          <cell r="AD64">
            <v>0</v>
          </cell>
          <cell r="AQ64">
            <v>0</v>
          </cell>
          <cell r="BD64">
            <v>0</v>
          </cell>
          <cell r="BQ64">
            <v>0</v>
          </cell>
          <cell r="BU64">
            <v>-17879985</v>
          </cell>
          <cell r="CD64">
            <v>-17879985</v>
          </cell>
          <cell r="CQ64">
            <v>0</v>
          </cell>
        </row>
        <row r="65">
          <cell r="Q65">
            <v>0</v>
          </cell>
          <cell r="AD65">
            <v>0</v>
          </cell>
          <cell r="AQ65">
            <v>0</v>
          </cell>
          <cell r="BD65">
            <v>0</v>
          </cell>
          <cell r="BQ65">
            <v>0</v>
          </cell>
          <cell r="BU65">
            <v>-4957340</v>
          </cell>
          <cell r="CD65">
            <v>-4957340</v>
          </cell>
          <cell r="CQ65">
            <v>0</v>
          </cell>
        </row>
        <row r="66">
          <cell r="Q66">
            <v>0</v>
          </cell>
          <cell r="AD66">
            <v>0</v>
          </cell>
          <cell r="AQ66">
            <v>0</v>
          </cell>
          <cell r="BD66">
            <v>0</v>
          </cell>
          <cell r="BQ66">
            <v>0</v>
          </cell>
          <cell r="BU66">
            <v>0</v>
          </cell>
          <cell r="CD66">
            <v>0</v>
          </cell>
          <cell r="CQ66">
            <v>0</v>
          </cell>
        </row>
        <row r="67"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-29424085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-29424085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</row>
        <row r="71"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1030</v>
          </cell>
          <cell r="AF71">
            <v>10300</v>
          </cell>
          <cell r="AG71">
            <v>10300</v>
          </cell>
          <cell r="AH71">
            <v>10300</v>
          </cell>
          <cell r="AI71">
            <v>307547.7</v>
          </cell>
          <cell r="AJ71">
            <v>423443.3</v>
          </cell>
          <cell r="AK71">
            <v>441355</v>
          </cell>
          <cell r="AL71">
            <v>448771</v>
          </cell>
          <cell r="AM71">
            <v>448771</v>
          </cell>
          <cell r="AN71">
            <v>448771</v>
          </cell>
          <cell r="AO71">
            <v>448771</v>
          </cell>
          <cell r="AP71">
            <v>7134802.79</v>
          </cell>
          <cell r="AQ71">
            <v>10134162.789999999</v>
          </cell>
          <cell r="AR71">
            <v>448771</v>
          </cell>
          <cell r="AS71">
            <v>448771</v>
          </cell>
          <cell r="AT71">
            <v>448771</v>
          </cell>
          <cell r="AU71">
            <v>448771</v>
          </cell>
          <cell r="AV71">
            <v>457062.5</v>
          </cell>
          <cell r="AW71">
            <v>457062.5</v>
          </cell>
          <cell r="AX71">
            <v>457062.5</v>
          </cell>
          <cell r="AY71">
            <v>434423.1</v>
          </cell>
          <cell r="AZ71">
            <v>434423.1</v>
          </cell>
          <cell r="BA71">
            <v>434423.1</v>
          </cell>
          <cell r="BB71">
            <v>434423.1</v>
          </cell>
          <cell r="BC71">
            <v>5794702.75</v>
          </cell>
          <cell r="BD71">
            <v>10698666.649999999</v>
          </cell>
          <cell r="BE71">
            <v>449924.6</v>
          </cell>
          <cell r="BF71">
            <v>425534.2</v>
          </cell>
          <cell r="BG71">
            <v>425534.2</v>
          </cell>
          <cell r="BH71">
            <v>425534.2</v>
          </cell>
          <cell r="BI71">
            <v>352363</v>
          </cell>
          <cell r="BJ71">
            <v>352363</v>
          </cell>
          <cell r="BK71">
            <v>329723.59999999998</v>
          </cell>
          <cell r="BL71">
            <v>329723.59999999998</v>
          </cell>
          <cell r="BM71">
            <v>329723.59999999998</v>
          </cell>
          <cell r="BN71">
            <v>329723.59999999998</v>
          </cell>
          <cell r="BO71">
            <v>329723.59999999998</v>
          </cell>
          <cell r="BP71">
            <v>2482281.46</v>
          </cell>
          <cell r="BQ71">
            <v>6562152.6600000001</v>
          </cell>
          <cell r="BR71">
            <v>230452.2</v>
          </cell>
          <cell r="BS71">
            <v>230452.2</v>
          </cell>
          <cell r="BT71">
            <v>230452.2</v>
          </cell>
          <cell r="BU71">
            <v>-29119524.300000001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-28428167.699999999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erve1"/>
      <sheetName val="Split Respot"/>
      <sheetName val="6W Clamping Station"/>
      <sheetName val="6XN  6XA  Body Frame Assy "/>
      <sheetName val="6XF Body Frame Assy"/>
      <sheetName val="6XB Respot 1"/>
      <sheetName val="6XB Respot C170"/>
      <sheetName val="6XB Respot C212"/>
      <sheetName val="Platforms"/>
      <sheetName val="Stationsübergreifend"/>
      <sheetName val="KST Gesamt"/>
      <sheetName val="KST Stunden"/>
      <sheetName val="Änderungsblatt"/>
      <sheetName val="KSTStun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2">
          <cell r="C32">
            <v>20</v>
          </cell>
        </row>
      </sheetData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W_SLW_Gesamt"/>
      <sheetName val="Übergeordnet"/>
      <sheetName val="Fahrertür"/>
      <sheetName val="Schiebetür"/>
      <sheetName val="Rückwandklappe"/>
      <sheetName val="Flügeltür"/>
      <sheetName val="Frontklappe"/>
      <sheetName val="Kotflügel"/>
      <sheetName val="Reserve"/>
      <sheetName val="Diagramm"/>
      <sheetName val="Statusgespräch"/>
      <sheetName val="E83  Planung"/>
      <sheetName val="E83 GmbH"/>
      <sheetName val="B.091001 (VB NoRa)"/>
      <sheetName val="B.091002 (VB NoLo)"/>
      <sheetName val="B.491000 (Matching)"/>
      <sheetName val="B.491001 (WB NoRa)"/>
      <sheetName val="B.491002 (WB NoL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7">
          <cell r="O17">
            <v>0.05</v>
          </cell>
          <cell r="Q17">
            <v>0.1</v>
          </cell>
          <cell r="R17">
            <v>0.05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t"/>
      <sheetName val="Diagramm"/>
      <sheetName val="Meilensteine Linie 1"/>
      <sheetName val="Meilensteine Linie 2"/>
    </sheetNames>
    <sheetDataSet>
      <sheetData sheetId="0" refreshError="1"/>
      <sheetData sheetId="1" refreshError="1">
        <row r="46">
          <cell r="F46">
            <v>0.05</v>
          </cell>
        </row>
      </sheetData>
      <sheetData sheetId="2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nischer Statusbericht"/>
      <sheetName val="kfm Status"/>
      <sheetName val="Diagramm"/>
      <sheetName val="Meilensteine 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IT"/>
      <sheetName val="OPEL"/>
      <sheetName val="D"/>
      <sheetName val="H"/>
      <sheetName val="KOMP"/>
      <sheetName val="GW"/>
      <sheetName val="Log"/>
      <sheetName val="(M2) Hood   Zaragoza "/>
      <sheetName val="UebMx"/>
      <sheetName val="MDEF"/>
      <sheetName val="KOSDEF"/>
      <sheetName val="DEF"/>
      <sheetName val="KPL"/>
      <sheetName val="HKPL"/>
      <sheetName val="MG_DEF"/>
      <sheetName val="MG_XY"/>
      <sheetName val="DKOS"/>
      <sheetName val="KDatenSpeicher"/>
      <sheetName val="He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öberlein"/>
      <sheetName val="Anlage"/>
      <sheetName val="Meng"/>
      <sheetName val="Einzeländ"/>
      <sheetName val="kal"/>
      <sheetName val="Fertkalk"/>
      <sheetName val="Tabelle4"/>
      <sheetName val="Tabelle3"/>
      <sheetName val="Elektrik"/>
      <sheetName val="Fert_kalk"/>
      <sheetName val="HW_005"/>
    </sheetNames>
    <definedNames>
      <definedName name="Makro1" refersTo="#REF!"/>
      <definedName name="Makro2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usatzblatt"/>
      <sheetName val="Elektrik"/>
      <sheetName val="Anlage"/>
      <sheetName val="Sortimat"/>
      <sheetName val="kal"/>
      <sheetName val="ZB BOD HI"/>
      <sheetName val="Einzeländ"/>
      <sheetName val="60.10"/>
      <sheetName val="Schanz"/>
      <sheetName val="Fert_kalk"/>
      <sheetName val="Engin"/>
      <sheetName val="Meng_Bre"/>
      <sheetName val="Meng_Sifi"/>
      <sheetName val="HW_001"/>
    </sheetNames>
    <definedNames>
      <definedName name="Modul1.Makro1"/>
      <definedName name="Modul2.Makro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Verteiler"/>
      <sheetName val="Projektinformationen"/>
      <sheetName val="Projektplan"/>
      <sheetName val="Beschreibung"/>
      <sheetName val="Plausibilisierung"/>
      <sheetName val="Auswertung"/>
      <sheetName val="Angebot"/>
      <sheetName val="Ist-Werte"/>
      <sheetName val="Expertenschätzung Top Down"/>
      <sheetName val="Expertenschätzung Bottom Up"/>
      <sheetName val="Maximal-Checkliste"/>
      <sheetName val="Lines of code"/>
      <sheetName val="Speicher und Sprache"/>
      <sheetName val="Kostentreiber"/>
      <sheetName val="Mgmt Summary"/>
      <sheetName val="Mgmt Summary (Teil 2)"/>
      <sheetName val="Domänen und Produktmerkmale"/>
      <sheetName val="Microcontroller"/>
      <sheetName val="Prog Language"/>
      <sheetName val="Infos"/>
      <sheetName val="Transfer-Tabelle"/>
    </sheetNames>
    <sheetDataSet>
      <sheetData sheetId="0" refreshError="1"/>
      <sheetData sheetId="1" refreshError="1"/>
      <sheetData sheetId="2" refreshError="1"/>
      <sheetData sheetId="3" refreshError="1">
        <row r="6">
          <cell r="C6" t="str">
            <v>B-Muster</v>
          </cell>
          <cell r="D6" t="str">
            <v>C-Muster</v>
          </cell>
          <cell r="E6" t="str">
            <v>D-Muster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ATMB"/>
      <sheetName val="Diagramm"/>
      <sheetName val="PRODATMB.XLS"/>
    </sheetNames>
    <definedNames>
      <definedName name="Schaltfläche2_BeiKlick"/>
      <definedName name="schaltfläche3_beiklick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 VB NoLo"/>
      <sheetName val="T5_NHL"/>
      <sheetName val="B.090319.1"/>
      <sheetName val="B.090319.00"/>
      <sheetName val="B.090319.01"/>
      <sheetName val="B.090319.02"/>
      <sheetName val="B.090319.03"/>
      <sheetName val="B.090319.04"/>
      <sheetName val="B.090319.06"/>
      <sheetName val="B.090319.07"/>
      <sheetName val="B.090319.08"/>
      <sheetName val="B.090319.33"/>
      <sheetName val="B.090319.41"/>
      <sheetName val="Leer_5"/>
      <sheetName val="Diagramm"/>
      <sheetName val="Statusgespräch"/>
      <sheetName val="G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34">
          <cell r="G34">
            <v>0.1</v>
          </cell>
        </row>
      </sheetData>
      <sheetData sheetId="15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Groups"/>
      <sheetName val="Components"/>
      <sheetName val="Format"/>
    </sheetNames>
    <sheetDataSet>
      <sheetData sheetId="0"/>
      <sheetData sheetId="1" refreshError="1"/>
      <sheetData sheetId="2" refreshError="1"/>
      <sheetData sheetId="3">
        <row r="30">
          <cell r="B30" t="str">
            <v>Bereich</v>
          </cell>
          <cell r="D30" t="str">
            <v>Bereich</v>
          </cell>
        </row>
        <row r="31">
          <cell r="B31" t="str">
            <v>Bausteingruppe</v>
          </cell>
          <cell r="D31" t="str">
            <v>Baustein</v>
          </cell>
        </row>
        <row r="32">
          <cell r="B32" t="str">
            <v>Baustein-G</v>
          </cell>
          <cell r="D32" t="str">
            <v>Element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lkyl1"/>
      <sheetName val="UtrTyp"/>
    </sheetNames>
    <sheetDataSet>
      <sheetData sheetId="0"/>
      <sheetData sheetId="1">
        <row r="3">
          <cell r="A3" t="str">
            <v>HC-fix</v>
          </cell>
        </row>
        <row r="4">
          <cell r="A4" t="str">
            <v>HC-rigg</v>
          </cell>
        </row>
        <row r="5">
          <cell r="A5" t="str">
            <v>Alu-rigg</v>
          </cell>
        </row>
        <row r="6">
          <cell r="A6" t="str">
            <v>Samp.</v>
          </cell>
        </row>
        <row r="7">
          <cell r="A7" t="str">
            <v>Trendfix.</v>
          </cell>
        </row>
        <row r="8">
          <cell r="A8" t="str">
            <v>Modul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ign Off Sheet"/>
      <sheetName val="Total Quote Summary"/>
      <sheetName val="FSS"/>
      <sheetName val="Installation"/>
      <sheetName val="System Req"/>
      <sheetName val="Front Door Line"/>
      <sheetName val="Frt Dr Req."/>
      <sheetName val="5B-10"/>
      <sheetName val="5B-20"/>
      <sheetName val="5B-30"/>
      <sheetName val="5B-40"/>
      <sheetName val="5B-50"/>
      <sheetName val="5B-60"/>
      <sheetName val="5B-70"/>
      <sheetName val="5B-80"/>
      <sheetName val="5B-200"/>
      <sheetName val="5B-210"/>
      <sheetName val="5B-220"/>
      <sheetName val="5B-300"/>
      <sheetName val="5B-310"/>
      <sheetName val="5B-320"/>
      <sheetName val="5B-330"/>
      <sheetName val="5B-340"/>
      <sheetName val="Rear Door Line"/>
      <sheetName val="Rr Dr Req"/>
      <sheetName val="5C-10"/>
      <sheetName val="5C-20"/>
      <sheetName val="5C-30"/>
      <sheetName val="5C-40"/>
      <sheetName val="5C-50"/>
      <sheetName val="5C-60"/>
      <sheetName val="5C-70"/>
      <sheetName val="5C-80"/>
      <sheetName val="5C-200"/>
      <sheetName val="5C-210"/>
      <sheetName val="5C-220"/>
      <sheetName val="5C-300"/>
      <sheetName val="5C-310"/>
      <sheetName val="5C-320"/>
      <sheetName val="5C-330"/>
      <sheetName val="5C-340"/>
      <sheetName val="Below the Line"/>
      <sheetName val="Emerging Market Report"/>
      <sheetName val="Dies Sheet"/>
      <sheetName val="FTF Quantity Sheets"/>
      <sheetName val="Install Plan"/>
      <sheetName val="Travel Rates"/>
    </sheetNames>
    <sheetDataSet>
      <sheetData sheetId="0" refreshError="1"/>
      <sheetData sheetId="1" refreshError="1"/>
      <sheetData sheetId="2">
        <row r="2">
          <cell r="D2" t="str">
            <v>2010 DXXX Front and Rear Door Line</v>
          </cell>
        </row>
        <row r="9">
          <cell r="BH9">
            <v>55.22</v>
          </cell>
          <cell r="BJ9">
            <v>50.26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42E7-2180-4810-BC6B-392A09BFA59B}">
  <dimension ref="A2:X41"/>
  <sheetViews>
    <sheetView tabSelected="1" topLeftCell="M1" zoomScaleNormal="100" workbookViewId="0">
      <selection activeCell="M4" sqref="M4"/>
    </sheetView>
  </sheetViews>
  <sheetFormatPr defaultColWidth="8.85546875" defaultRowHeight="15" x14ac:dyDescent="0.25"/>
  <cols>
    <col min="1" max="1" width="8.85546875" style="1"/>
    <col min="2" max="2" width="25.7109375" style="1" customWidth="1"/>
    <col min="3" max="3" width="15.7109375" style="1" customWidth="1"/>
    <col min="4" max="4" width="30.7109375" style="1" customWidth="1"/>
    <col min="5" max="5" width="8.85546875" style="1"/>
    <col min="6" max="10" width="15.7109375" style="1" customWidth="1"/>
    <col min="11" max="13" width="15.7109375" style="3" customWidth="1"/>
    <col min="14" max="14" width="8.85546875" style="1"/>
    <col min="15" max="24" width="15.7109375" style="3" customWidth="1"/>
    <col min="25" max="16384" width="8.85546875" style="1"/>
  </cols>
  <sheetData>
    <row r="2" spans="1:24" x14ac:dyDescent="0.25">
      <c r="B2" s="16" t="s">
        <v>0</v>
      </c>
    </row>
    <row r="3" spans="1:24" x14ac:dyDescent="0.25">
      <c r="B3" s="17" t="s">
        <v>6</v>
      </c>
      <c r="C3" s="18">
        <v>0.08</v>
      </c>
      <c r="D3" s="5" t="s">
        <v>4</v>
      </c>
      <c r="F3" s="10" t="s">
        <v>26</v>
      </c>
      <c r="G3" s="10" t="s">
        <v>27</v>
      </c>
      <c r="H3" s="10" t="s">
        <v>28</v>
      </c>
      <c r="I3" s="10" t="s">
        <v>29</v>
      </c>
      <c r="J3" s="10" t="s">
        <v>30</v>
      </c>
      <c r="K3" s="10" t="s">
        <v>56</v>
      </c>
      <c r="L3" s="10" t="s">
        <v>57</v>
      </c>
      <c r="M3" s="10" t="s">
        <v>29</v>
      </c>
      <c r="O3" s="15" t="s">
        <v>61</v>
      </c>
      <c r="P3" s="15" t="s">
        <v>62</v>
      </c>
      <c r="Q3" s="15" t="s">
        <v>28</v>
      </c>
      <c r="R3" s="15" t="s">
        <v>15</v>
      </c>
      <c r="S3" s="15" t="s">
        <v>16</v>
      </c>
      <c r="T3" s="15" t="s">
        <v>63</v>
      </c>
      <c r="U3" s="15" t="s">
        <v>29</v>
      </c>
      <c r="V3" s="15" t="s">
        <v>25</v>
      </c>
      <c r="W3" s="15" t="s">
        <v>64</v>
      </c>
      <c r="X3" s="15" t="s">
        <v>1</v>
      </c>
    </row>
    <row r="4" spans="1:24" x14ac:dyDescent="0.25">
      <c r="B4" s="17" t="s">
        <v>2</v>
      </c>
      <c r="C4" s="18">
        <v>0.05</v>
      </c>
      <c r="D4" s="5" t="s">
        <v>4</v>
      </c>
      <c r="F4" s="6" t="s">
        <v>31</v>
      </c>
      <c r="G4" s="11">
        <v>333000</v>
      </c>
      <c r="H4" s="11">
        <v>5000000</v>
      </c>
      <c r="I4" s="2">
        <f>H4-G4</f>
        <v>4667000</v>
      </c>
      <c r="J4" s="2">
        <v>2000</v>
      </c>
      <c r="K4" s="12">
        <f>H4/J4</f>
        <v>2500</v>
      </c>
      <c r="L4" s="12">
        <f>G4/J4</f>
        <v>166.5</v>
      </c>
      <c r="M4" s="12">
        <f>K4-L4</f>
        <v>2333.5</v>
      </c>
      <c r="O4" s="33">
        <v>46027</v>
      </c>
      <c r="P4" s="19">
        <v>500000000</v>
      </c>
      <c r="Q4" s="19">
        <v>405000000</v>
      </c>
      <c r="R4" s="19">
        <v>5000000</v>
      </c>
      <c r="S4" s="19">
        <v>25000000</v>
      </c>
      <c r="T4" s="19">
        <v>0</v>
      </c>
      <c r="U4" s="19">
        <v>405000000</v>
      </c>
      <c r="V4" s="19">
        <v>405000000</v>
      </c>
      <c r="W4" s="19">
        <v>65000000</v>
      </c>
      <c r="X4" s="34">
        <v>1.1494252873563218</v>
      </c>
    </row>
    <row r="5" spans="1:24" x14ac:dyDescent="0.25">
      <c r="B5" s="5"/>
      <c r="C5" s="5"/>
      <c r="D5" s="5"/>
      <c r="F5" s="6" t="s">
        <v>32</v>
      </c>
      <c r="G5" s="11">
        <v>14450</v>
      </c>
      <c r="H5" s="11">
        <v>20000000</v>
      </c>
      <c r="I5" s="2">
        <f t="shared" ref="I5:I16" si="0">H5-G5</f>
        <v>19985550</v>
      </c>
      <c r="J5" s="2">
        <v>1700</v>
      </c>
      <c r="K5" s="12">
        <f t="shared" ref="K5:K16" si="1">H5/J5</f>
        <v>11764.705882352941</v>
      </c>
      <c r="L5" s="12">
        <f t="shared" ref="L5:L16" si="2">G5/J5</f>
        <v>8.5</v>
      </c>
      <c r="M5" s="12">
        <f t="shared" ref="M5:M17" si="3">K5-L5</f>
        <v>11756.205882352941</v>
      </c>
      <c r="O5" s="33">
        <v>46031</v>
      </c>
      <c r="P5" s="19">
        <v>500000000</v>
      </c>
      <c r="Q5" s="19">
        <v>405000000</v>
      </c>
      <c r="R5" s="19">
        <v>5000000</v>
      </c>
      <c r="S5" s="19">
        <v>25000000</v>
      </c>
      <c r="T5" s="9">
        <f>G17+G38</f>
        <v>191160105</v>
      </c>
      <c r="U5" s="19">
        <f>Q5-T5</f>
        <v>213839895</v>
      </c>
      <c r="V5" s="9">
        <f>T5+U5</f>
        <v>405000000</v>
      </c>
      <c r="W5" s="19">
        <v>65000000</v>
      </c>
      <c r="X5" s="34">
        <v>1.1494252873563218</v>
      </c>
    </row>
    <row r="6" spans="1:24" x14ac:dyDescent="0.25">
      <c r="B6" s="5" t="s">
        <v>14</v>
      </c>
      <c r="C6" s="20">
        <v>500000000</v>
      </c>
      <c r="D6" s="5" t="s">
        <v>4</v>
      </c>
      <c r="F6" s="6" t="s">
        <v>33</v>
      </c>
      <c r="G6" s="11">
        <v>2385100</v>
      </c>
      <c r="H6" s="11">
        <v>5000000</v>
      </c>
      <c r="I6" s="2">
        <f t="shared" si="0"/>
        <v>2614900</v>
      </c>
      <c r="J6" s="2">
        <v>1700</v>
      </c>
      <c r="K6" s="12">
        <f t="shared" si="1"/>
        <v>2941.1764705882351</v>
      </c>
      <c r="L6" s="12">
        <f t="shared" si="2"/>
        <v>1403</v>
      </c>
      <c r="M6" s="12">
        <f t="shared" si="3"/>
        <v>1538.1764705882351</v>
      </c>
      <c r="O6" s="33"/>
      <c r="X6" s="34"/>
    </row>
    <row r="7" spans="1:24" x14ac:dyDescent="0.25">
      <c r="B7" s="5"/>
      <c r="C7" s="21"/>
      <c r="D7" s="5"/>
      <c r="F7" s="6" t="s">
        <v>34</v>
      </c>
      <c r="G7" s="11">
        <v>392350</v>
      </c>
      <c r="H7" s="11">
        <v>5000000</v>
      </c>
      <c r="I7" s="2">
        <f t="shared" si="0"/>
        <v>4607650</v>
      </c>
      <c r="J7" s="2">
        <v>1900</v>
      </c>
      <c r="K7" s="12">
        <f t="shared" si="1"/>
        <v>2631.5789473684213</v>
      </c>
      <c r="L7" s="12">
        <f t="shared" si="2"/>
        <v>206.5</v>
      </c>
      <c r="M7" s="12">
        <f t="shared" si="3"/>
        <v>2425.0789473684213</v>
      </c>
      <c r="O7" s="33"/>
      <c r="X7" s="34"/>
    </row>
    <row r="8" spans="1:24" x14ac:dyDescent="0.25">
      <c r="B8" s="22" t="s">
        <v>7</v>
      </c>
      <c r="C8" s="23">
        <f>+C6*C3</f>
        <v>40000000</v>
      </c>
      <c r="D8" s="5" t="s">
        <v>5</v>
      </c>
      <c r="F8" s="6" t="s">
        <v>35</v>
      </c>
      <c r="G8" s="11">
        <v>38000</v>
      </c>
      <c r="H8" s="11">
        <v>1000000</v>
      </c>
      <c r="I8" s="2">
        <f t="shared" si="0"/>
        <v>962000</v>
      </c>
      <c r="J8" s="2">
        <v>1900</v>
      </c>
      <c r="K8" s="12">
        <f t="shared" si="1"/>
        <v>526.31578947368416</v>
      </c>
      <c r="L8" s="12">
        <f t="shared" si="2"/>
        <v>20</v>
      </c>
      <c r="M8" s="12">
        <f t="shared" si="3"/>
        <v>506.31578947368416</v>
      </c>
      <c r="O8" s="33"/>
      <c r="X8" s="34"/>
    </row>
    <row r="9" spans="1:24" x14ac:dyDescent="0.25">
      <c r="B9" s="5" t="s">
        <v>8</v>
      </c>
      <c r="C9" s="20">
        <f>+C6-C8</f>
        <v>460000000</v>
      </c>
      <c r="D9" s="5" t="s">
        <v>23</v>
      </c>
      <c r="F9" s="6" t="s">
        <v>36</v>
      </c>
      <c r="G9" s="11">
        <v>5561850</v>
      </c>
      <c r="H9" s="11">
        <v>11000000</v>
      </c>
      <c r="I9" s="2">
        <f t="shared" si="0"/>
        <v>5438150</v>
      </c>
      <c r="J9" s="2">
        <v>1900</v>
      </c>
      <c r="K9" s="12">
        <f t="shared" si="1"/>
        <v>5789.4736842105267</v>
      </c>
      <c r="L9" s="12">
        <f t="shared" si="2"/>
        <v>2927.2894736842104</v>
      </c>
      <c r="M9" s="12">
        <f t="shared" si="3"/>
        <v>2862.1842105263163</v>
      </c>
      <c r="O9" s="33"/>
      <c r="X9" s="34"/>
    </row>
    <row r="10" spans="1:24" x14ac:dyDescent="0.25">
      <c r="B10" s="5"/>
      <c r="C10" s="20"/>
      <c r="D10" s="5"/>
      <c r="F10" s="6" t="s">
        <v>37</v>
      </c>
      <c r="G10" s="11">
        <v>4243650</v>
      </c>
      <c r="H10" s="11">
        <v>6000000</v>
      </c>
      <c r="I10" s="2">
        <f t="shared" si="0"/>
        <v>1756350</v>
      </c>
      <c r="J10" s="2">
        <v>1900</v>
      </c>
      <c r="K10" s="12">
        <f t="shared" si="1"/>
        <v>3157.8947368421054</v>
      </c>
      <c r="L10" s="12">
        <f t="shared" si="2"/>
        <v>2233.5</v>
      </c>
      <c r="M10" s="12">
        <f t="shared" si="3"/>
        <v>924.39473684210543</v>
      </c>
      <c r="O10" s="33"/>
      <c r="X10" s="34"/>
    </row>
    <row r="11" spans="1:24" x14ac:dyDescent="0.25">
      <c r="B11" s="5" t="s">
        <v>59</v>
      </c>
      <c r="C11" s="20">
        <f>C6*C4</f>
        <v>25000000</v>
      </c>
      <c r="D11" s="5" t="s">
        <v>58</v>
      </c>
      <c r="F11" s="6" t="s">
        <v>38</v>
      </c>
      <c r="G11" s="11">
        <v>994650</v>
      </c>
      <c r="H11" s="11">
        <v>1500000</v>
      </c>
      <c r="I11" s="2">
        <f t="shared" si="0"/>
        <v>505350</v>
      </c>
      <c r="J11" s="2">
        <v>1900</v>
      </c>
      <c r="K11" s="12">
        <f t="shared" si="1"/>
        <v>789.47368421052636</v>
      </c>
      <c r="L11" s="12">
        <f t="shared" si="2"/>
        <v>523.5</v>
      </c>
      <c r="M11" s="12">
        <f t="shared" si="3"/>
        <v>265.97368421052636</v>
      </c>
      <c r="O11" s="33"/>
      <c r="X11" s="34"/>
    </row>
    <row r="12" spans="1:24" x14ac:dyDescent="0.25">
      <c r="A12" s="24"/>
      <c r="B12" s="5"/>
      <c r="C12" s="20"/>
      <c r="D12" s="5"/>
      <c r="F12" s="6" t="s">
        <v>39</v>
      </c>
      <c r="G12" s="11">
        <v>1843000</v>
      </c>
      <c r="H12" s="11">
        <v>2500000</v>
      </c>
      <c r="I12" s="2">
        <f t="shared" si="0"/>
        <v>657000</v>
      </c>
      <c r="J12" s="2">
        <v>1900</v>
      </c>
      <c r="K12" s="12">
        <f t="shared" si="1"/>
        <v>1315.7894736842106</v>
      </c>
      <c r="L12" s="12">
        <f t="shared" si="2"/>
        <v>970</v>
      </c>
      <c r="M12" s="12">
        <f t="shared" si="3"/>
        <v>345.78947368421063</v>
      </c>
    </row>
    <row r="13" spans="1:24" x14ac:dyDescent="0.25">
      <c r="B13" s="5" t="s">
        <v>3</v>
      </c>
      <c r="C13" s="20">
        <f>C9-C11</f>
        <v>435000000</v>
      </c>
      <c r="D13" s="5" t="s">
        <v>60</v>
      </c>
      <c r="F13" s="6" t="s">
        <v>40</v>
      </c>
      <c r="G13" s="11">
        <v>1086300</v>
      </c>
      <c r="H13" s="11">
        <v>25000000</v>
      </c>
      <c r="I13" s="2">
        <f t="shared" si="0"/>
        <v>23913700</v>
      </c>
      <c r="J13" s="2">
        <v>1700</v>
      </c>
      <c r="K13" s="12">
        <f t="shared" si="1"/>
        <v>14705.882352941177</v>
      </c>
      <c r="L13" s="12">
        <f t="shared" si="2"/>
        <v>639</v>
      </c>
      <c r="M13" s="12">
        <f t="shared" si="3"/>
        <v>14066.882352941177</v>
      </c>
    </row>
    <row r="14" spans="1:24" x14ac:dyDescent="0.25">
      <c r="B14" s="5"/>
      <c r="C14" s="5"/>
      <c r="D14" s="5"/>
      <c r="F14" s="6" t="s">
        <v>41</v>
      </c>
      <c r="G14" s="11">
        <v>3159450</v>
      </c>
      <c r="H14" s="11">
        <v>15000000</v>
      </c>
      <c r="I14" s="2">
        <f t="shared" si="0"/>
        <v>11840550</v>
      </c>
      <c r="J14" s="2">
        <v>1700</v>
      </c>
      <c r="K14" s="12">
        <f t="shared" si="1"/>
        <v>8823.5294117647063</v>
      </c>
      <c r="L14" s="12">
        <f t="shared" si="2"/>
        <v>1858.5</v>
      </c>
      <c r="M14" s="12">
        <f t="shared" si="3"/>
        <v>6965.0294117647063</v>
      </c>
    </row>
    <row r="15" spans="1:24" x14ac:dyDescent="0.25">
      <c r="B15" s="5" t="s">
        <v>10</v>
      </c>
      <c r="C15" s="25">
        <f>+C6-C13</f>
        <v>65000000</v>
      </c>
      <c r="D15" s="5" t="s">
        <v>9</v>
      </c>
      <c r="F15" s="6" t="s">
        <v>42</v>
      </c>
      <c r="G15" s="11">
        <v>102000</v>
      </c>
      <c r="H15" s="11">
        <v>20000000</v>
      </c>
      <c r="I15" s="2">
        <f t="shared" si="0"/>
        <v>19898000</v>
      </c>
      <c r="J15" s="2">
        <v>2000</v>
      </c>
      <c r="K15" s="12">
        <f t="shared" si="1"/>
        <v>10000</v>
      </c>
      <c r="L15" s="12">
        <f t="shared" si="2"/>
        <v>51</v>
      </c>
      <c r="M15" s="12">
        <f t="shared" si="3"/>
        <v>9949</v>
      </c>
    </row>
    <row r="16" spans="1:24" x14ac:dyDescent="0.25">
      <c r="B16" s="5" t="s">
        <v>11</v>
      </c>
      <c r="C16" s="26">
        <f>+C15/C6</f>
        <v>0.13</v>
      </c>
      <c r="D16" s="5" t="s">
        <v>12</v>
      </c>
      <c r="F16" s="6" t="s">
        <v>43</v>
      </c>
      <c r="G16" s="11">
        <v>4333000</v>
      </c>
      <c r="H16" s="11">
        <v>4500000</v>
      </c>
      <c r="I16" s="2">
        <f t="shared" si="0"/>
        <v>167000</v>
      </c>
      <c r="J16" s="2">
        <v>2000</v>
      </c>
      <c r="K16" s="12">
        <f t="shared" si="1"/>
        <v>2250</v>
      </c>
      <c r="L16" s="12">
        <f t="shared" si="2"/>
        <v>2166.5</v>
      </c>
      <c r="M16" s="12">
        <f t="shared" si="3"/>
        <v>83.5</v>
      </c>
    </row>
    <row r="17" spans="2:13" x14ac:dyDescent="0.25">
      <c r="B17" s="5"/>
      <c r="C17" s="27"/>
      <c r="D17" s="5"/>
      <c r="F17" s="5"/>
      <c r="G17" s="4">
        <f>SUM(G4:G16)</f>
        <v>24486800</v>
      </c>
      <c r="H17" s="4">
        <f>SUM(H4:H16)</f>
        <v>121500000</v>
      </c>
      <c r="I17" s="4">
        <f>SUM(I4:I16)</f>
        <v>97013200</v>
      </c>
      <c r="J17" s="5"/>
      <c r="K17" s="12">
        <f>SUM(K4:K16)</f>
        <v>67195.820433436529</v>
      </c>
      <c r="L17" s="12">
        <f>SUM(L4:L16)</f>
        <v>13173.78947368421</v>
      </c>
      <c r="M17" s="12">
        <f t="shared" si="3"/>
        <v>54022.030959752316</v>
      </c>
    </row>
    <row r="18" spans="2:13" x14ac:dyDescent="0.25">
      <c r="B18" s="22" t="s">
        <v>1</v>
      </c>
      <c r="C18" s="28">
        <f>+C6/C13</f>
        <v>1.1494252873563218</v>
      </c>
      <c r="D18" s="5" t="s">
        <v>13</v>
      </c>
      <c r="H18" s="14">
        <f>C26*30%</f>
        <v>121500000</v>
      </c>
    </row>
    <row r="19" spans="2:13" x14ac:dyDescent="0.25">
      <c r="B19" s="5"/>
      <c r="C19" s="5"/>
      <c r="D19" s="5"/>
      <c r="G19" s="7"/>
      <c r="H19" s="8">
        <f>H17-H18</f>
        <v>0</v>
      </c>
      <c r="I19" s="8"/>
    </row>
    <row r="20" spans="2:13" x14ac:dyDescent="0.25">
      <c r="B20" s="5" t="s">
        <v>18</v>
      </c>
      <c r="C20" s="29">
        <v>0.01</v>
      </c>
      <c r="D20" s="5"/>
    </row>
    <row r="21" spans="2:13" x14ac:dyDescent="0.25">
      <c r="B21" s="5" t="s">
        <v>19</v>
      </c>
      <c r="C21" s="29">
        <v>0.05</v>
      </c>
      <c r="D21" s="5"/>
      <c r="F21" s="10" t="s">
        <v>26</v>
      </c>
      <c r="G21" s="10" t="s">
        <v>27</v>
      </c>
      <c r="H21" s="10" t="s">
        <v>28</v>
      </c>
      <c r="I21" s="10" t="s">
        <v>29</v>
      </c>
    </row>
    <row r="22" spans="2:13" x14ac:dyDescent="0.25">
      <c r="B22" s="5"/>
      <c r="C22" s="20"/>
      <c r="D22" s="25"/>
      <c r="F22" s="6" t="s">
        <v>44</v>
      </c>
      <c r="G22" s="11">
        <v>67865575</v>
      </c>
      <c r="H22" s="11">
        <v>90000000</v>
      </c>
      <c r="I22" s="2">
        <f t="shared" ref="I22:I35" si="4">H22-G22</f>
        <v>22134425</v>
      </c>
    </row>
    <row r="23" spans="2:13" x14ac:dyDescent="0.25">
      <c r="B23" s="5" t="s">
        <v>20</v>
      </c>
      <c r="C23" s="25">
        <f>C6*C20</f>
        <v>5000000</v>
      </c>
      <c r="D23" s="25"/>
      <c r="F23" s="6" t="s">
        <v>45</v>
      </c>
      <c r="G23" s="11">
        <v>218822</v>
      </c>
      <c r="H23" s="11">
        <v>50000000</v>
      </c>
      <c r="I23" s="2">
        <f t="shared" si="4"/>
        <v>49781178</v>
      </c>
    </row>
    <row r="24" spans="2:13" x14ac:dyDescent="0.25">
      <c r="B24" s="5" t="s">
        <v>21</v>
      </c>
      <c r="C24" s="25">
        <f>C6*C21</f>
        <v>25000000</v>
      </c>
      <c r="D24" s="25"/>
      <c r="F24" s="6" t="s">
        <v>46</v>
      </c>
      <c r="G24" s="11">
        <v>21957651</v>
      </c>
      <c r="H24" s="11">
        <v>25000000</v>
      </c>
      <c r="I24" s="2">
        <f t="shared" si="4"/>
        <v>3042349</v>
      </c>
    </row>
    <row r="25" spans="2:13" x14ac:dyDescent="0.25">
      <c r="B25" s="5"/>
      <c r="C25" s="20"/>
      <c r="D25" s="25"/>
      <c r="F25" s="6" t="s">
        <v>47</v>
      </c>
      <c r="G25" s="11">
        <v>50430106</v>
      </c>
      <c r="H25" s="11">
        <v>65000000</v>
      </c>
      <c r="I25" s="2">
        <f t="shared" si="4"/>
        <v>14569894</v>
      </c>
    </row>
    <row r="26" spans="2:13" x14ac:dyDescent="0.25">
      <c r="B26" s="5" t="s">
        <v>17</v>
      </c>
      <c r="C26" s="30">
        <f>C13-C23-C24</f>
        <v>405000000</v>
      </c>
      <c r="D26" s="25"/>
      <c r="F26" s="6" t="s">
        <v>48</v>
      </c>
      <c r="G26" s="11">
        <v>1820363</v>
      </c>
      <c r="H26" s="11">
        <v>2200000</v>
      </c>
      <c r="I26" s="2">
        <f t="shared" si="4"/>
        <v>379637</v>
      </c>
    </row>
    <row r="27" spans="2:13" x14ac:dyDescent="0.25">
      <c r="B27" s="31"/>
      <c r="C27" s="20"/>
      <c r="D27" s="25"/>
      <c r="F27" s="6" t="s">
        <v>49</v>
      </c>
      <c r="G27" s="11">
        <v>56828</v>
      </c>
      <c r="H27" s="11">
        <v>2725000</v>
      </c>
      <c r="I27" s="2">
        <f t="shared" si="4"/>
        <v>2668172</v>
      </c>
    </row>
    <row r="28" spans="2:13" x14ac:dyDescent="0.25">
      <c r="B28" s="22" t="s">
        <v>22</v>
      </c>
      <c r="C28" s="20">
        <f>C26+C23+C24</f>
        <v>435000000</v>
      </c>
      <c r="D28" s="25"/>
      <c r="F28" s="6" t="s">
        <v>50</v>
      </c>
      <c r="G28" s="11">
        <v>4209192</v>
      </c>
      <c r="H28" s="11">
        <v>5000000</v>
      </c>
      <c r="I28" s="2">
        <f t="shared" si="4"/>
        <v>790808</v>
      </c>
    </row>
    <row r="29" spans="2:13" x14ac:dyDescent="0.25">
      <c r="B29" s="16"/>
      <c r="F29" s="6" t="s">
        <v>24</v>
      </c>
      <c r="G29" s="11">
        <v>0</v>
      </c>
      <c r="H29" s="11"/>
      <c r="I29" s="2">
        <f t="shared" si="4"/>
        <v>0</v>
      </c>
    </row>
    <row r="30" spans="2:13" x14ac:dyDescent="0.25">
      <c r="D30" s="32"/>
      <c r="F30" s="6" t="s">
        <v>51</v>
      </c>
      <c r="G30" s="11">
        <v>0</v>
      </c>
      <c r="H30" s="11"/>
      <c r="I30" s="2">
        <f t="shared" si="4"/>
        <v>0</v>
      </c>
    </row>
    <row r="31" spans="2:13" x14ac:dyDescent="0.25">
      <c r="D31" s="32"/>
      <c r="F31" s="6" t="s">
        <v>52</v>
      </c>
      <c r="G31" s="11">
        <v>634000</v>
      </c>
      <c r="H31" s="11">
        <v>8000000</v>
      </c>
      <c r="I31" s="2">
        <f t="shared" si="4"/>
        <v>7366000</v>
      </c>
    </row>
    <row r="32" spans="2:13" x14ac:dyDescent="0.25">
      <c r="D32" s="32"/>
      <c r="F32" s="6" t="s">
        <v>53</v>
      </c>
      <c r="G32" s="11">
        <v>18374300</v>
      </c>
      <c r="H32" s="11">
        <v>34000000</v>
      </c>
      <c r="I32" s="2">
        <f t="shared" si="4"/>
        <v>15625700</v>
      </c>
    </row>
    <row r="33" spans="4:9" x14ac:dyDescent="0.25">
      <c r="D33" s="32"/>
      <c r="F33" s="6" t="s">
        <v>38</v>
      </c>
      <c r="G33" s="11">
        <v>1073028</v>
      </c>
      <c r="H33" s="11">
        <v>1500000</v>
      </c>
      <c r="I33" s="2">
        <f t="shared" si="4"/>
        <v>426972</v>
      </c>
    </row>
    <row r="34" spans="4:9" x14ac:dyDescent="0.25">
      <c r="D34" s="32"/>
      <c r="F34" s="6" t="s">
        <v>54</v>
      </c>
      <c r="G34" s="11">
        <v>11440</v>
      </c>
      <c r="H34" s="11">
        <v>20000</v>
      </c>
      <c r="I34" s="2">
        <f t="shared" si="4"/>
        <v>8560</v>
      </c>
    </row>
    <row r="35" spans="4:9" x14ac:dyDescent="0.25">
      <c r="F35" s="6" t="s">
        <v>55</v>
      </c>
      <c r="G35" s="11">
        <v>22000</v>
      </c>
      <c r="H35" s="11">
        <v>55000</v>
      </c>
      <c r="I35" s="2">
        <f t="shared" si="4"/>
        <v>33000</v>
      </c>
    </row>
    <row r="36" spans="4:9" x14ac:dyDescent="0.25">
      <c r="F36" s="6"/>
      <c r="G36" s="11"/>
      <c r="H36" s="11"/>
      <c r="I36" s="2"/>
    </row>
    <row r="37" spans="4:9" x14ac:dyDescent="0.25">
      <c r="F37" s="6"/>
      <c r="G37" s="11"/>
      <c r="H37" s="11"/>
      <c r="I37" s="2"/>
    </row>
    <row r="38" spans="4:9" x14ac:dyDescent="0.25">
      <c r="F38" s="5"/>
      <c r="G38" s="4">
        <f>SUM(G22:G37)</f>
        <v>166673305</v>
      </c>
      <c r="H38" s="4">
        <f>SUM(H22:H37)</f>
        <v>283500000</v>
      </c>
      <c r="I38" s="4">
        <f>SUM(I22:I37)</f>
        <v>116826695</v>
      </c>
    </row>
    <row r="39" spans="4:9" x14ac:dyDescent="0.25">
      <c r="H39" s="13">
        <f>C26*70%</f>
        <v>283500000</v>
      </c>
    </row>
    <row r="40" spans="4:9" x14ac:dyDescent="0.25">
      <c r="G40" s="8"/>
      <c r="H40" s="8">
        <f>H38-H39</f>
        <v>0</v>
      </c>
    </row>
    <row r="41" spans="4:9" x14ac:dyDescent="0.25">
      <c r="H41" s="8"/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6D4EFE36E94046845C74C97AADF28A" ma:contentTypeVersion="11" ma:contentTypeDescription="Ein neues Dokument erstellen." ma:contentTypeScope="" ma:versionID="9138624941670238f9225dd65dbc8a6c">
  <xsd:schema xmlns:xsd="http://www.w3.org/2001/XMLSchema" xmlns:xs="http://www.w3.org/2001/XMLSchema" xmlns:p="http://schemas.microsoft.com/office/2006/metadata/properties" xmlns:ns2="2447b319-08b3-4b76-8051-cf08699d6e15" xmlns:ns3="f049751b-3bf0-41e1-953d-9e0c3d588331" targetNamespace="http://schemas.microsoft.com/office/2006/metadata/properties" ma:root="true" ma:fieldsID="6630838e864b213eefeca3dba6092a11" ns2:_="" ns3:_="">
    <xsd:import namespace="2447b319-08b3-4b76-8051-cf08699d6e15"/>
    <xsd:import namespace="f049751b-3bf0-41e1-953d-9e0c3d5883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7b319-08b3-4b76-8051-cf08699d6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67416a1-98ec-4333-8e55-e02a2d654e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9751b-3bf0-41e1-953d-9e0c3d5883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e44823-06a9-45d3-a630-a00f0c6d6754}" ma:internalName="TaxCatchAll" ma:showField="CatchAllData" ma:web="f049751b-3bf0-41e1-953d-9e0c3d5883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47b319-08b3-4b76-8051-cf08699d6e15">
      <Terms xmlns="http://schemas.microsoft.com/office/infopath/2007/PartnerControls"/>
    </lcf76f155ced4ddcb4097134ff3c332f>
    <TaxCatchAll xmlns="f049751b-3bf0-41e1-953d-9e0c3d5883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E3A5FF-C530-4988-9AD5-B04B1BE4BA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47b319-08b3-4b76-8051-cf08699d6e15"/>
    <ds:schemaRef ds:uri="f049751b-3bf0-41e1-953d-9e0c3d5883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E89062-1BA2-4CFB-9A31-C58969FBD67B}">
  <ds:schemaRefs>
    <ds:schemaRef ds:uri="f049751b-3bf0-41e1-953d-9e0c3d588331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2447b319-08b3-4b76-8051-cf08699d6e15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E1AC3D-D3A9-45FB-A19B-0C8AC514B4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Margin formula and summary</vt:lpstr>
    </vt:vector>
  </TitlesOfParts>
  <Company>thyssenkrupp Automotive Body Solutions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Gijare, Abhijeet</dc:creator>
  <cp:lastModifiedBy>Anish Tangadpalliwar</cp:lastModifiedBy>
  <dcterms:created xsi:type="dcterms:W3CDTF">2026-01-05T05:12:18Z</dcterms:created>
  <dcterms:modified xsi:type="dcterms:W3CDTF">2026-01-08T05:50:39Z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0x010100D76D4EFE36E94046845C74C97AADF28A</vt:lpwstr>
  </property>
  <property fmtid="{D5CDD505-2E9C-101B-9397-08002B2CF9AE}" pid="3" name="MediaServiceImageTags">
    <vt:lpwstr/>
  </property>
</Properties>
</file>